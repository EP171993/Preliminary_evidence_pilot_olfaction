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Eleonora\OneDrive\MyExperiments\sapienza\airup\bial 2026\analisi\"/>
    </mc:Choice>
  </mc:AlternateContent>
  <xr:revisionPtr revIDLastSave="0" documentId="8_{D81426BE-BDED-409D-A471-56661BC0FFF7}" xr6:coauthVersionLast="36" xr6:coauthVersionMax="36" xr10:uidLastSave="{00000000-0000-0000-0000-000000000000}"/>
  <bookViews>
    <workbookView xWindow="0" yWindow="0" windowWidth="19008" windowHeight="10284" xr2:uid="{00000000-000D-0000-FFFF-FFFF00000000}"/>
  </bookViews>
  <sheets>
    <sheet name="Coding_binary" sheetId="1" r:id="rId1"/>
    <sheet name="Paired_by_subject" sheetId="2" r:id="rId2"/>
    <sheet name="Summary" sheetId="3" r:id="rId3"/>
    <sheet name="pivot" sheetId="4" r:id="rId4"/>
  </sheets>
  <calcPr calcId="191029"/>
  <pivotCaches>
    <pivotCache cacheId="5" r:id="rId5"/>
  </pivotCaches>
</workbook>
</file>

<file path=xl/calcChain.xml><?xml version="1.0" encoding="utf-8"?>
<calcChain xmlns="http://schemas.openxmlformats.org/spreadsheetml/2006/main">
  <c r="F6" i="4" l="1"/>
  <c r="G6" i="4"/>
  <c r="F7" i="4"/>
  <c r="G7" i="4"/>
  <c r="F8" i="4"/>
  <c r="G8" i="4"/>
  <c r="F9" i="4"/>
  <c r="G9" i="4"/>
  <c r="F10" i="4"/>
  <c r="G10" i="4"/>
  <c r="F11" i="4"/>
  <c r="G11" i="4"/>
  <c r="F12" i="4"/>
  <c r="G12" i="4"/>
  <c r="F13" i="4"/>
  <c r="G13" i="4"/>
  <c r="F14" i="4"/>
  <c r="G14" i="4"/>
  <c r="F15" i="4"/>
  <c r="G15" i="4"/>
  <c r="F16" i="4"/>
  <c r="G16" i="4"/>
  <c r="F17" i="4"/>
  <c r="G17" i="4"/>
  <c r="F18" i="4"/>
  <c r="G18" i="4"/>
  <c r="F19" i="4"/>
  <c r="G19" i="4"/>
  <c r="F20" i="4"/>
  <c r="G20" i="4"/>
  <c r="F21" i="4"/>
  <c r="G21" i="4"/>
  <c r="F22" i="4"/>
  <c r="G22" i="4"/>
  <c r="F23" i="4"/>
  <c r="G23" i="4"/>
  <c r="F24" i="4"/>
  <c r="G24" i="4"/>
  <c r="F25" i="4"/>
  <c r="G25" i="4"/>
  <c r="F26" i="4"/>
  <c r="G26" i="4"/>
  <c r="F27" i="4"/>
  <c r="G27" i="4"/>
  <c r="F28" i="4"/>
  <c r="G28" i="4"/>
  <c r="F29" i="4"/>
  <c r="G29" i="4"/>
  <c r="F30" i="4"/>
  <c r="G30" i="4"/>
  <c r="F31" i="4"/>
  <c r="G31" i="4"/>
  <c r="F32" i="4"/>
  <c r="G32" i="4"/>
  <c r="F33" i="4"/>
  <c r="G33" i="4"/>
  <c r="F34" i="4"/>
  <c r="G34" i="4"/>
  <c r="F35" i="4"/>
  <c r="G35" i="4"/>
  <c r="F36" i="4"/>
  <c r="G36" i="4"/>
  <c r="F37" i="4"/>
  <c r="G37" i="4"/>
  <c r="F38" i="4"/>
  <c r="G38" i="4"/>
  <c r="F39" i="4"/>
  <c r="G39" i="4"/>
  <c r="F40" i="4"/>
  <c r="G40" i="4"/>
  <c r="F41" i="4"/>
  <c r="G41" i="4"/>
  <c r="F42" i="4"/>
  <c r="G42" i="4"/>
  <c r="F43" i="4"/>
  <c r="G43" i="4"/>
  <c r="F44" i="4"/>
  <c r="G44" i="4"/>
  <c r="F45" i="4"/>
  <c r="G45" i="4"/>
  <c r="F46" i="4"/>
  <c r="G46" i="4"/>
  <c r="F47" i="4"/>
  <c r="G47" i="4"/>
  <c r="F48" i="4"/>
  <c r="G48" i="4"/>
  <c r="F49" i="4"/>
  <c r="G49" i="4"/>
  <c r="F50" i="4"/>
  <c r="G50" i="4"/>
  <c r="F51" i="4"/>
  <c r="G51" i="4"/>
  <c r="G5" i="4"/>
  <c r="F5" i="4"/>
  <c r="G54" i="4" l="1"/>
  <c r="H100" i="1" l="1"/>
</calcChain>
</file>

<file path=xl/sharedStrings.xml><?xml version="1.0" encoding="utf-8"?>
<sst xmlns="http://schemas.openxmlformats.org/spreadsheetml/2006/main" count="829" uniqueCount="258">
  <si>
    <t>SOGG</t>
  </si>
  <si>
    <t>Condition</t>
  </si>
  <si>
    <t>COSAERA</t>
  </si>
  <si>
    <t>INGREDIENTI</t>
  </si>
  <si>
    <t>Combined response</t>
  </si>
  <si>
    <t>Binary code</t>
  </si>
  <si>
    <t>Binary label</t>
  </si>
  <si>
    <t>P</t>
  </si>
  <si>
    <t>acqua dolcificante alla fragola</t>
  </si>
  <si>
    <t>acqua zucchero fragola</t>
  </si>
  <si>
    <t>acqua dolcificante alla fragola | acqua zucchero fragola</t>
  </si>
  <si>
    <t>nutrient/caloric or added-ingredient beverage</t>
  </si>
  <si>
    <t>A</t>
  </si>
  <si>
    <t>medicinale/integratore per il mal di stomaco</t>
  </si>
  <si>
    <t>acqua, sali minerali</t>
  </si>
  <si>
    <t>medicinale/integratore per il mal di stomaco | acqua, sali minerali</t>
  </si>
  <si>
    <t>acqua</t>
  </si>
  <si>
    <t>sentivo un sapore come di plastica nell'acqua</t>
  </si>
  <si>
    <t>acqua | sentivo un sapore come di plastica nell'acqua</t>
  </si>
  <si>
    <t>plain water</t>
  </si>
  <si>
    <t>acqua con uno sciroppo zuccherino</t>
  </si>
  <si>
    <t>c'era un ingrediente zuccherino aggiunto all'acqua</t>
  </si>
  <si>
    <t>acqua con uno sciroppo zuccherino | c'era un ingrediente zuccherino aggiunto all'acqua</t>
  </si>
  <si>
    <t>gatorade</t>
  </si>
  <si>
    <t>arancia</t>
  </si>
  <si>
    <t>gatorade | arancia</t>
  </si>
  <si>
    <t>acqua | acqua</t>
  </si>
  <si>
    <t>acqua insaporita</t>
  </si>
  <si>
    <t>frutti rossi</t>
  </si>
  <si>
    <t>acqua insaporita | frutti rossi</t>
  </si>
  <si>
    <t>solo acqua</t>
  </si>
  <si>
    <t>acqua | solo acqua</t>
  </si>
  <si>
    <t>acqua fruttata</t>
  </si>
  <si>
    <t>acqua fruttata | acqua</t>
  </si>
  <si>
    <t>qualcosa di dolce diluito in acqua</t>
  </si>
  <si>
    <t>qualcosa di dolce diluito in acqua | acqua</t>
  </si>
  <si>
    <t>aromatizzata</t>
  </si>
  <si>
    <t>fragola</t>
  </si>
  <si>
    <t>aromatizzata | fragola</t>
  </si>
  <si>
    <t>acqua aromatizzata</t>
  </si>
  <si>
    <t>pesca</t>
  </si>
  <si>
    <t>acqua aromatizzata | pesca</t>
  </si>
  <si>
    <t>pochissimo succo di frutta diluito con molta acqua</t>
  </si>
  <si>
    <t>acqua e succo ma non so di che frutto</t>
  </si>
  <si>
    <t>pochissimo succo di frutta diluito con molta acqua | acqua e succo ma non so di che frutto</t>
  </si>
  <si>
    <t>acqua e un po' di zucchero o dolcificante</t>
  </si>
  <si>
    <t>acqua e zucchero/dolcificante</t>
  </si>
  <si>
    <t>acqua e un po' di zucchero o dolcificante | acqua e zucchero/dolcificante</t>
  </si>
  <si>
    <t>acqua naturale</t>
  </si>
  <si>
    <t>acqua naturale | acqua</t>
  </si>
  <si>
    <t>the freddo</t>
  </si>
  <si>
    <t>mela</t>
  </si>
  <si>
    <t>the freddo | mela</t>
  </si>
  <si>
    <t>ACQUA</t>
  </si>
  <si>
    <t>ACQUA | ACQUA</t>
  </si>
  <si>
    <t>SCIROPPO</t>
  </si>
  <si>
    <t>NON RICONOSCO</t>
  </si>
  <si>
    <t>SCIROPPO | NON RICONOSCO</t>
  </si>
  <si>
    <t>acqua con dolcificante</t>
  </si>
  <si>
    <t>arancia, acqua</t>
  </si>
  <si>
    <t>acqua con dolcificante | arancia, acqua</t>
  </si>
  <si>
    <t>succo di frutta</t>
  </si>
  <si>
    <t>acqua, uva, zucchero</t>
  </si>
  <si>
    <t>succo di frutta | acqua, uva, zucchero</t>
  </si>
  <si>
    <t>stesso succo di frutta di prima</t>
  </si>
  <si>
    <t>stessi ingredienti (stessa di prima)</t>
  </si>
  <si>
    <t>stesso succo di frutta di prima | stessi ingredienti (stessa di prima)</t>
  </si>
  <si>
    <t>fragola, zucchero</t>
  </si>
  <si>
    <t>gatorade | fragola, zucchero</t>
  </si>
  <si>
    <t>non saprei, era insapore, forse acqua lievemente saporita con qualche aroma</t>
  </si>
  <si>
    <t>nessuno</t>
  </si>
  <si>
    <t>non saprei, era insapore, forse acqua lievemente saporita con qualche aroma | nessuno</t>
  </si>
  <si>
    <t>qualcosa forse tipo anguria, solo che non ho percepito dolcezza ma qualcosa di lievemente salato</t>
  </si>
  <si>
    <t>anguria, non sono sicura sia questo uno degli ingredienti ma in ogni caso se non è questo è qualcosa sempre su quella linea li</t>
  </si>
  <si>
    <t>qualcosa forse tipo anguria, solo che non ho percepito dolcezza ma qualcosa di lievemente salato | anguria, non sono sicura sia questo uno degli ingredienti ma in ogni caso se non è questo è qualcosa sempre su quella linea li</t>
  </si>
  <si>
    <t>qualcosa alla fragola</t>
  </si>
  <si>
    <t>acqua con dolcificante | qualcosa alla fragola</t>
  </si>
  <si>
    <t>non ho riconosciuto ingredienti</t>
  </si>
  <si>
    <t>acqua | non ho riconosciuto ingredienti</t>
  </si>
  <si>
    <t>acqua | fragola</t>
  </si>
  <si>
    <t>acqua e succo di mango</t>
  </si>
  <si>
    <t>mango</t>
  </si>
  <si>
    <t>acqua e succo di mango | mango</t>
  </si>
  <si>
    <t>acqua, zucchero</t>
  </si>
  <si>
    <t>acqua | acqua, zucchero</t>
  </si>
  <si>
    <t>succo</t>
  </si>
  <si>
    <t>lampone, mirtillo, frutti di bosco</t>
  </si>
  <si>
    <t>succo | lampone, mirtillo, frutti di bosco</t>
  </si>
  <si>
    <t>te alla pesca diluito</t>
  </si>
  <si>
    <t>te alla pesca,pesca</t>
  </si>
  <si>
    <t>te alla pesca diluito | te alla pesca,pesca</t>
  </si>
  <si>
    <t>succo | arancia</t>
  </si>
  <si>
    <t>frutta</t>
  </si>
  <si>
    <t>succo | frutta</t>
  </si>
  <si>
    <t>magnesium plus</t>
  </si>
  <si>
    <t>ananas</t>
  </si>
  <si>
    <t>magnesium plus | ananas</t>
  </si>
  <si>
    <t>red bull</t>
  </si>
  <si>
    <t>red bull | fragola</t>
  </si>
  <si>
    <t>carota arancia</t>
  </si>
  <si>
    <t>succo | carota arancia</t>
  </si>
  <si>
    <t>acqua con qualche sapore</t>
  </si>
  <si>
    <t>carota o arancia o fragola</t>
  </si>
  <si>
    <t>acqua con qualche sapore | carota o arancia o fragola</t>
  </si>
  <si>
    <t>Gatorade</t>
  </si>
  <si>
    <t>Arancia</t>
  </si>
  <si>
    <t>Gatorade | Arancia</t>
  </si>
  <si>
    <t>Esta The</t>
  </si>
  <si>
    <t>Limone</t>
  </si>
  <si>
    <t>Esta The | Limone</t>
  </si>
  <si>
    <t>Succo all'ananas o multivitaminico</t>
  </si>
  <si>
    <t>ananas, frutta in generale, acqua</t>
  </si>
  <si>
    <t>Succo all'ananas o multivitaminico | ananas, frutta in generale, acqua</t>
  </si>
  <si>
    <t>Succo multivitaminico</t>
  </si>
  <si>
    <t>acqua, ananas</t>
  </si>
  <si>
    <t>Succo multivitaminico | acqua, ananas</t>
  </si>
  <si>
    <t>SALI MINERALI</t>
  </si>
  <si>
    <t>ACQUA | SALI MINERALI</t>
  </si>
  <si>
    <t>TE FREDDO</t>
  </si>
  <si>
    <t>PESCA</t>
  </si>
  <si>
    <t>TE FREDDO | PESCA</t>
  </si>
  <si>
    <t>FERMENTI LATTICI</t>
  </si>
  <si>
    <t>DOLCIFICANTE</t>
  </si>
  <si>
    <t>FERMENTI LATTICI | DOLCIFICANTE</t>
  </si>
  <si>
    <t>Acqua</t>
  </si>
  <si>
    <t>Acqua | Acqua</t>
  </si>
  <si>
    <t>ACQUA E SCIROPPO</t>
  </si>
  <si>
    <t>ACQUA E SCIROPPO | ACQUA</t>
  </si>
  <si>
    <t>succo di mela diluito</t>
  </si>
  <si>
    <t>mela, acqua</t>
  </si>
  <si>
    <t>succo di mela diluito | mela, acqua</t>
  </si>
  <si>
    <t>succo alla pera</t>
  </si>
  <si>
    <t>pera, mela</t>
  </si>
  <si>
    <t>succo alla pera | pera, mela</t>
  </si>
  <si>
    <t>acqua del  rubinetto</t>
  </si>
  <si>
    <t>acqua del  rubinetto | acqua</t>
  </si>
  <si>
    <t>ACQUA CON UN PO' DI SUCCO DI MELA</t>
  </si>
  <si>
    <t>MELA</t>
  </si>
  <si>
    <t>ACQUA CON UN PO' DI SUCCO DI MELA | MELA</t>
  </si>
  <si>
    <t>ACQUA AROMATIZZATA</t>
  </si>
  <si>
    <t>ANANAS</t>
  </si>
  <si>
    <t>ACQUA AROMATIZZATA | ANANAS</t>
  </si>
  <si>
    <t>Acqua con una polvere saporita</t>
  </si>
  <si>
    <t>Banana</t>
  </si>
  <si>
    <t>Acqua con una polvere saporita | Banana</t>
  </si>
  <si>
    <t>Acqua con sali minerali</t>
  </si>
  <si>
    <t>Acqua con sali minerali | acqua</t>
  </si>
  <si>
    <t>acqua strana</t>
  </si>
  <si>
    <t>acqua strana | acqua</t>
  </si>
  <si>
    <t>ACQUA SCIROPPATA</t>
  </si>
  <si>
    <t>ZUCCHERO, SALE</t>
  </si>
  <si>
    <t>ACQUA SCIROPPATA | ZUCCHERO, SALE</t>
  </si>
  <si>
    <t>ACQUA CON TRACCE DI SEDANO</t>
  </si>
  <si>
    <t>SEDANO</t>
  </si>
  <si>
    <t>ACQUA CON TRACCE DI SEDANO | SEDANO</t>
  </si>
  <si>
    <t>lampone</t>
  </si>
  <si>
    <t>acqua aromatizzata | lampone</t>
  </si>
  <si>
    <t>Acqua mista a sciroppo</t>
  </si>
  <si>
    <t>Acqua e sciroppo molto zuccherato</t>
  </si>
  <si>
    <t>Acqua mista a sciroppo | Acqua e sciroppo molto zuccherato</t>
  </si>
  <si>
    <t>qualcosa di dolce molto diluito, tipo acqua aromatizzata</t>
  </si>
  <si>
    <t>acqua, qualcosa per addolcire</t>
  </si>
  <si>
    <t>qualcosa di dolce molto diluito, tipo acqua aromatizzata | acqua, qualcosa per addolcire</t>
  </si>
  <si>
    <t>acqua?</t>
  </si>
  <si>
    <t>acqua? | acqua?</t>
  </si>
  <si>
    <t>ACQUA E LIMONE</t>
  </si>
  <si>
    <t>LIMONE</t>
  </si>
  <si>
    <t>ACQUA E LIMONE | LIMONE</t>
  </si>
  <si>
    <t>sembrava dell'acqua con un infuso di pera</t>
  </si>
  <si>
    <t>pera, fragola</t>
  </si>
  <si>
    <t>sembrava dell'acqua con un infuso di pera | pera, fragola</t>
  </si>
  <si>
    <t>acqua | nessuno</t>
  </si>
  <si>
    <t>acqua con qualcosa</t>
  </si>
  <si>
    <t>acqua con qualcosa | acqua</t>
  </si>
  <si>
    <t>bevanda al gusto di anguria (cantalupo)</t>
  </si>
  <si>
    <t>anguria, melone (cantalupo), acqua</t>
  </si>
  <si>
    <t>bevanda al gusto di anguria (cantalupo) | anguria, melone (cantalupo), acqua</t>
  </si>
  <si>
    <t>Aroma all'arancia</t>
  </si>
  <si>
    <t>Acqua | Aroma all'arancia</t>
  </si>
  <si>
    <t>ARANCIA</t>
  </si>
  <si>
    <t>ACQUA | ARANCIA</t>
  </si>
  <si>
    <t>MIRTILLO</t>
  </si>
  <si>
    <t>ACQUA | MIRTILLO</t>
  </si>
  <si>
    <t>una bevanda energetica, con amminoacidi/zuccheri</t>
  </si>
  <si>
    <t>arancia/limone</t>
  </si>
  <si>
    <t>una bevanda energetica, con amminoacidi/zuccheri | arancia/limone</t>
  </si>
  <si>
    <t>acqua da una borraccia di plastica</t>
  </si>
  <si>
    <t>acqua da una borraccia di plastica | acqua</t>
  </si>
  <si>
    <t>H2O</t>
  </si>
  <si>
    <t>Acqua | H2O</t>
  </si>
  <si>
    <t>H2O, pochissimi aromi all'arancia</t>
  </si>
  <si>
    <t>Acqua | H2O, pochissimi aromi all'arancia</t>
  </si>
  <si>
    <t>The alla pesca/limone annacquato</t>
  </si>
  <si>
    <t>The alla pesca/limone</t>
  </si>
  <si>
    <t>The alla pesca/limone annacquato | The alla pesca/limone</t>
  </si>
  <si>
    <t>acqua naturale | acqua naturale</t>
  </si>
  <si>
    <t>acqua minerale</t>
  </si>
  <si>
    <t>acqua minerale | acqua</t>
  </si>
  <si>
    <t>infuso</t>
  </si>
  <si>
    <t>infuso di erbe, acqua, zucchero</t>
  </si>
  <si>
    <t>infuso | infuso di erbe, acqua, zucchero</t>
  </si>
  <si>
    <t>the</t>
  </si>
  <si>
    <t>the | pesca</t>
  </si>
  <si>
    <t>A combined response</t>
  </si>
  <si>
    <t>P combined response</t>
  </si>
  <si>
    <t>A code</t>
  </si>
  <si>
    <t>P code</t>
  </si>
  <si>
    <t>A label</t>
  </si>
  <si>
    <t>P label</t>
  </si>
  <si>
    <t>Different binary category</t>
  </si>
  <si>
    <t>Pattern</t>
  </si>
  <si>
    <t>Both nutrient/caloric or added-ingredient</t>
  </si>
  <si>
    <t>A plain water → P nutrient/caloric</t>
  </si>
  <si>
    <t>A nutrient/caloric → P plain water</t>
  </si>
  <si>
    <t>Both plain water</t>
  </si>
  <si>
    <t>Binary coding scheme</t>
  </si>
  <si>
    <t>Plain water / no added sensory-nutritional identity</t>
  </si>
  <si>
    <t>Nutrient/caloric or added-ingredient beverage identity (fruit, sugar/sweetener, juice, tea, sport/energy drink, supplement, salts/minerals, aroma/flavour)</t>
  </si>
  <si>
    <t>Code</t>
  </si>
  <si>
    <t>Label</t>
  </si>
  <si>
    <t>n</t>
  </si>
  <si>
    <t>N</t>
  </si>
  <si>
    <t>Percent</t>
  </si>
  <si>
    <t>Water Control (A)</t>
  </si>
  <si>
    <t>Olfactory Pod (P)</t>
  </si>
  <si>
    <t>Overall</t>
  </si>
  <si>
    <t>Paired pattern</t>
  </si>
  <si>
    <t>Different binary category between A and P</t>
  </si>
  <si>
    <t>Pod coded nutrient/caloric or added-ingredient</t>
  </si>
  <si>
    <t>Water coded plain water</t>
  </si>
  <si>
    <t>no</t>
  </si>
  <si>
    <t>ok</t>
  </si>
  <si>
    <t>difference 1/0</t>
  </si>
  <si>
    <t>KCAL</t>
  </si>
  <si>
    <t>Pleasantness</t>
  </si>
  <si>
    <t>Intensity</t>
  </si>
  <si>
    <t>Sweet</t>
  </si>
  <si>
    <t>Salt</t>
  </si>
  <si>
    <t>Bitter</t>
  </si>
  <si>
    <t>Sour</t>
  </si>
  <si>
    <t>Sugar</t>
  </si>
  <si>
    <t>Far</t>
  </si>
  <si>
    <t xml:space="preserve">Ingested Ml </t>
  </si>
  <si>
    <t>sniffing sticks performance</t>
  </si>
  <si>
    <t>MAIA-Noticing</t>
  </si>
  <si>
    <t>MAIA-Not_Distracting</t>
  </si>
  <si>
    <t>MAIA-Not_Worrying</t>
  </si>
  <si>
    <t>MAIA-Attention_Regulation</t>
  </si>
  <si>
    <t>MAIA-Emotional_Awareness</t>
  </si>
  <si>
    <t>MAIA-Self_Regulation</t>
  </si>
  <si>
    <t>MAIA-Body_Listening</t>
  </si>
  <si>
    <t>MAIA-Trusting</t>
  </si>
  <si>
    <t>TAS</t>
  </si>
  <si>
    <t>t</t>
  </si>
  <si>
    <t>Etichette di riga</t>
  </si>
  <si>
    <t>Totale complessivo</t>
  </si>
  <si>
    <t>Etichette di colonna</t>
  </si>
  <si>
    <t xml:space="preserve">Media di Ingested Ml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</si>
</sst>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font>
      <sz val="11"/>
      <name val="Carlito"/>
    </font>
    <font>
      <b/>
      <sz val="11"/>
      <name val="Carlito"/>
    </font>
    <font>
      <sz val="11"/>
      <name val="Carlito"/>
    </font>
    <font>
      <sz val="11"/>
      <color theme="1"/>
      <name val="Carlito"/>
    </font>
  </fonts>
  <fills count="9">
    <fill>
      <patternFill patternType="none"/>
    </fill>
    <fill>
      <patternFill patternType="gray125"/>
    </fill>
    <fill>
      <patternFill patternType="solid">
        <fgColor rgb="FFD9EAF7"/>
      </patternFill>
    </fill>
    <fill>
      <patternFill patternType="solid">
        <fgColor rgb="FFD9EAD3"/>
      </patternFill>
    </fill>
    <fill>
      <patternFill patternType="solid">
        <fgColor theme="5" tint="0.39997558519241921"/>
        <bgColor indexed="64"/>
      </patternFill>
    </fill>
    <fill>
      <patternFill patternType="solid">
        <fgColor indexed="22"/>
      </patternFill>
    </fill>
    <fill>
      <patternFill patternType="solid">
        <fgColor rgb="FFFFFF00"/>
        <bgColor indexed="64"/>
      </patternFill>
    </fill>
    <fill>
      <patternFill patternType="solid">
        <fgColor theme="5"/>
        <bgColor indexed="64"/>
      </patternFill>
    </fill>
    <fill>
      <patternFill patternType="solid">
        <fgColor theme="4" tint="0.79998168889431442"/>
        <bgColor theme="4" tint="0.79998168889431442"/>
      </patternFill>
    </fill>
  </fills>
  <borders count="5">
    <border>
      <left/>
      <right/>
      <top/>
      <bottom/>
      <diagonal/>
    </border>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2" fillId="0" borderId="0"/>
  </cellStyleXfs>
  <cellXfs count="20">
    <xf numFmtId="0" fontId="0" fillId="0" borderId="0" xfId="0"/>
    <xf numFmtId="0" fontId="1" fillId="2" borderId="0" xfId="1" applyNumberFormat="1" applyFont="1" applyFill="1" applyBorder="1"/>
    <xf numFmtId="0" fontId="1" fillId="2" borderId="0" xfId="1" applyNumberFormat="1" applyFont="1" applyFill="1" applyBorder="1" applyAlignment="1">
      <alignment wrapText="1"/>
    </xf>
    <xf numFmtId="0" fontId="1" fillId="2" borderId="1" xfId="1" applyNumberFormat="1" applyFont="1" applyFill="1" applyBorder="1" applyAlignment="1">
      <alignment wrapText="1"/>
    </xf>
    <xf numFmtId="0" fontId="1" fillId="3" borderId="0" xfId="1" applyNumberFormat="1" applyFont="1" applyFill="1" applyBorder="1" applyAlignment="1">
      <alignment wrapText="1"/>
    </xf>
    <xf numFmtId="164" fontId="0" fillId="0" borderId="0" xfId="1" applyNumberFormat="1" applyFont="1" applyFill="1" applyBorder="1"/>
    <xf numFmtId="0" fontId="0" fillId="4" borderId="0" xfId="0" applyFill="1"/>
    <xf numFmtId="0" fontId="0" fillId="5" borderId="0" xfId="0" applyFill="1"/>
    <xf numFmtId="0" fontId="0" fillId="6" borderId="0" xfId="0" applyFill="1"/>
    <xf numFmtId="0" fontId="0" fillId="7" borderId="0" xfId="0" applyFill="1"/>
    <xf numFmtId="0" fontId="0" fillId="0" borderId="0" xfId="0" applyNumberFormat="1"/>
    <xf numFmtId="2" fontId="0" fillId="0" borderId="0" xfId="0" applyNumberFormat="1"/>
    <xf numFmtId="2" fontId="3" fillId="8" borderId="2" xfId="1" applyNumberFormat="1" applyFont="1" applyFill="1" applyBorder="1" applyAlignment="1">
      <alignment vertical="center"/>
    </xf>
    <xf numFmtId="2" fontId="3" fillId="8" borderId="3" xfId="1" applyNumberFormat="1" applyFont="1" applyFill="1" applyBorder="1" applyAlignment="1">
      <alignment vertical="center"/>
    </xf>
    <xf numFmtId="2" fontId="3" fillId="8" borderId="4" xfId="1" applyNumberFormat="1" applyFont="1" applyFill="1" applyBorder="1" applyAlignment="1">
      <alignment vertical="center"/>
    </xf>
    <xf numFmtId="2" fontId="3" fillId="0" borderId="2" xfId="1" applyNumberFormat="1" applyFont="1" applyBorder="1" applyAlignment="1">
      <alignment vertical="center"/>
    </xf>
    <xf numFmtId="2" fontId="3" fillId="0" borderId="3" xfId="1" applyNumberFormat="1" applyFont="1" applyBorder="1" applyAlignment="1">
      <alignment vertical="center"/>
    </xf>
    <xf numFmtId="2" fontId="3" fillId="0" borderId="4" xfId="1" applyNumberFormat="1" applyFont="1" applyBorder="1" applyAlignment="1">
      <alignment vertical="center"/>
    </xf>
    <xf numFmtId="0" fontId="0" fillId="0" borderId="0" xfId="0" pivotButton="1"/>
    <xf numFmtId="0" fontId="0" fillId="0" borderId="0" xfId="0" applyAlignment="1">
      <alignment horizontal="left"/>
    </xf>
  </cellXfs>
  <cellStyles count="2">
    <cellStyle name="Normal" xfId="1" xr:uid="{00000000-0005-0000-0000-000000000000}"/>
    <cellStyle name="Normale"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eonora" refreshedDate="46216.653790509263" createdVersion="6" refreshedVersion="6" minRefreshableVersion="3" recordCount="100" xr:uid="{789BDDB0-6A83-4C65-A52F-7EB690A0D75F}">
  <cacheSource type="worksheet">
    <worksheetSource ref="A1:AB1048576" sheet="Coding_binary"/>
  </cacheSource>
  <cacheFields count="28">
    <cacheField name="SOGG" numFmtId="0">
      <sharedItems containsString="0" containsBlank="1" containsNumber="1" containsInteger="1" minValue="1" maxValue="47" count="48">
        <n v="1"/>
        <n v="2"/>
        <n v="3"/>
        <n v="4"/>
        <n v="5"/>
        <n v="6"/>
        <n v="7"/>
        <n v="8"/>
        <n v="9"/>
        <n v="10"/>
        <n v="11"/>
        <n v="12"/>
        <n v="13"/>
        <n v="14"/>
        <n v="15"/>
        <n v="16"/>
        <n v="17"/>
        <n v="18"/>
        <n v="19"/>
        <n v="20"/>
        <n v="21"/>
        <n v="22"/>
        <n v="23"/>
        <n v="24"/>
        <n v="25"/>
        <n v="26"/>
        <n v="27"/>
        <n v="28"/>
        <n v="29"/>
        <n v="30"/>
        <n v="31"/>
        <n v="32"/>
        <n v="33"/>
        <n v="34"/>
        <n v="35"/>
        <n v="36"/>
        <n v="37"/>
        <n v="38"/>
        <n v="39"/>
        <n v="40"/>
        <n v="41"/>
        <n v="42"/>
        <n v="43"/>
        <n v="44"/>
        <n v="45"/>
        <n v="46"/>
        <n v="47"/>
        <m/>
      </sharedItems>
    </cacheField>
    <cacheField name="Condition" numFmtId="0">
      <sharedItems containsBlank="1" count="3">
        <s v="P"/>
        <s v="A"/>
        <m/>
      </sharedItems>
    </cacheField>
    <cacheField name="COSAERA" numFmtId="0">
      <sharedItems containsBlank="1"/>
    </cacheField>
    <cacheField name="INGREDIENTI" numFmtId="0">
      <sharedItems containsBlank="1"/>
    </cacheField>
    <cacheField name="Combined response" numFmtId="0">
      <sharedItems containsBlank="1"/>
    </cacheField>
    <cacheField name="Binary code" numFmtId="0">
      <sharedItems containsString="0" containsBlank="1" containsNumber="1" containsInteger="1" minValue="0" maxValue="1"/>
    </cacheField>
    <cacheField name="Binary label" numFmtId="0">
      <sharedItems containsBlank="1"/>
    </cacheField>
    <cacheField name="difference 1/0" numFmtId="0">
      <sharedItems containsBlank="1" containsMixedTypes="1" containsNumber="1" containsInteger="1" minValue="31" maxValue="31"/>
    </cacheField>
    <cacheField name="Pleasantness" numFmtId="0">
      <sharedItems containsString="0" containsBlank="1" containsNumber="1" minValue="0" maxValue="100"/>
    </cacheField>
    <cacheField name="Intensity" numFmtId="0">
      <sharedItems containsString="0" containsBlank="1" containsNumber="1" minValue="0" maxValue="100" count="81">
        <n v="18.8"/>
        <n v="17.8"/>
        <n v="56.6"/>
        <n v="23.1"/>
        <n v="20.2"/>
        <n v="16.8"/>
        <n v="6"/>
        <n v="1.2"/>
        <n v="27.9"/>
        <n v="25.2"/>
        <n v="2.8"/>
        <n v="100"/>
        <n v="35.299999999999997"/>
        <n v="4.2"/>
        <n v="24.7"/>
        <n v="30.2"/>
        <n v="2.2999999999999998"/>
        <n v="7.6"/>
        <n v="17.3"/>
        <n v="0"/>
        <n v="26.7"/>
        <n v="43"/>
        <n v="58.4"/>
        <n v="5.8"/>
        <n v="8.8000000000000007"/>
        <n v="54.8"/>
        <n v="37.299999999999997"/>
        <n v="11.4"/>
        <n v="27.2"/>
        <n v="36.200000000000003"/>
        <n v="22"/>
        <n v="11.1"/>
        <n v="28.2"/>
        <n v="59.7"/>
        <n v="11.9"/>
        <n v="0.8"/>
        <n v="20"/>
        <n v="25.3"/>
        <n v="48.7"/>
        <n v="37.4"/>
        <n v="62.2"/>
        <n v="7.5"/>
        <n v="2.9"/>
        <n v="20.8"/>
        <n v="60.3"/>
        <n v="50.3"/>
        <n v="45"/>
        <n v="58.7"/>
        <n v="19.399999999999999"/>
        <n v="21.2"/>
        <n v="3.2"/>
        <n v="21.4"/>
        <n v="5.2"/>
        <n v="18.2"/>
        <n v="29.1"/>
        <n v="13"/>
        <n v="3.6"/>
        <n v="47.4"/>
        <n v="11.3"/>
        <n v="3.8"/>
        <n v="14.7"/>
        <n v="2.7"/>
        <n v="17"/>
        <n v="36.4"/>
        <n v="68"/>
        <n v="2.4"/>
        <n v="33.9"/>
        <n v="5.4"/>
        <n v="77.5"/>
        <n v="16.399999999999999"/>
        <n v="50.9"/>
        <n v="67.3"/>
        <n v="10"/>
        <n v="4.3"/>
        <n v="9.5"/>
        <n v="48.4"/>
        <n v="16.5"/>
        <n v="3.1"/>
        <n v="24"/>
        <n v="16.100000000000001"/>
        <m/>
      </sharedItems>
    </cacheField>
    <cacheField name="Sweet" numFmtId="0">
      <sharedItems containsString="0" containsBlank="1" containsNumber="1" minValue="0" maxValue="80.8"/>
    </cacheField>
    <cacheField name="Salt" numFmtId="0">
      <sharedItems containsString="0" containsBlank="1" containsNumber="1" minValue="0" maxValue="55.1"/>
    </cacheField>
    <cacheField name="Sour" numFmtId="0">
      <sharedItems containsString="0" containsBlank="1" containsNumber="1" minValue="0" maxValue="23.6"/>
    </cacheField>
    <cacheField name="Bitter" numFmtId="0">
      <sharedItems containsString="0" containsBlank="1" containsNumber="1" minValue="0" maxValue="32"/>
    </cacheField>
    <cacheField name="KCAL" numFmtId="0">
      <sharedItems containsString="0" containsBlank="1" containsNumber="1" minValue="0" maxValue="72.099999999999994"/>
    </cacheField>
    <cacheField name="Sugar" numFmtId="0">
      <sharedItems containsString="0" containsBlank="1" containsNumber="1" minValue="0" maxValue="84"/>
    </cacheField>
    <cacheField name="Far" numFmtId="0">
      <sharedItems containsString="0" containsBlank="1" containsNumber="1" minValue="0" maxValue="73.2"/>
    </cacheField>
    <cacheField name="Ingested Ml " numFmtId="0">
      <sharedItems containsString="0" containsBlank="1" containsNumber="1" minValue="37.5" maxValue="500"/>
    </cacheField>
    <cacheField name="sniffing sticks performance" numFmtId="0">
      <sharedItems containsString="0" containsBlank="1" containsNumber="1" containsInteger="1" minValue="5" maxValue="11"/>
    </cacheField>
    <cacheField name="MAIA-Noticing" numFmtId="0">
      <sharedItems containsString="0" containsBlank="1" containsNumber="1" minValue="3.25" maxValue="6"/>
    </cacheField>
    <cacheField name="MAIA-Not_Distracting" numFmtId="0">
      <sharedItems containsString="0" containsBlank="1" containsNumber="1" minValue="0.17" maxValue="3.33"/>
    </cacheField>
    <cacheField name="MAIA-Not_Worrying" numFmtId="0">
      <sharedItems containsString="0" containsBlank="1" containsNumber="1" minValue="1" maxValue="4.2"/>
    </cacheField>
    <cacheField name="MAIA-Attention_Regulation" numFmtId="0">
      <sharedItems containsString="0" containsBlank="1" containsNumber="1" minValue="1.71" maxValue="5.71"/>
    </cacheField>
    <cacheField name="MAIA-Emotional_Awareness" numFmtId="0">
      <sharedItems containsString="0" containsBlank="1" containsNumber="1" minValue="2" maxValue="6"/>
    </cacheField>
    <cacheField name="MAIA-Self_Regulation" numFmtId="0">
      <sharedItems containsString="0" containsBlank="1" containsNumber="1" minValue="1" maxValue="5.25"/>
    </cacheField>
    <cacheField name="MAIA-Body_Listening" numFmtId="0">
      <sharedItems containsString="0" containsBlank="1" containsNumber="1" minValue="1.33" maxValue="6"/>
    </cacheField>
    <cacheField name="MAIA-Trusting" numFmtId="0">
      <sharedItems containsString="0" containsBlank="1" containsNumber="1" minValue="1.33" maxValue="6"/>
    </cacheField>
    <cacheField name="TAS" numFmtId="0">
      <sharedItems containsString="0" containsBlank="1" containsNumber="1" containsInteger="1" minValue="12" maxValue="3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acqua dolcificante alla fragola"/>
    <s v="acqua zucchero fragola"/>
    <s v="acqua dolcificante alla fragola | acqua zucchero fragola"/>
    <n v="1"/>
    <s v="nutrient/caloric or added-ingredient beverage"/>
    <s v="no"/>
    <n v="14.4"/>
    <x v="0"/>
    <n v="35.4"/>
    <n v="0"/>
    <n v="0"/>
    <n v="9.1"/>
    <n v="18.2"/>
    <n v="46.2"/>
    <n v="21.2"/>
    <n v="181"/>
    <n v="10"/>
    <n v="3.25"/>
    <n v="0.83"/>
    <n v="3.2"/>
    <n v="4.8600000000000003"/>
    <n v="4.2"/>
    <n v="5.25"/>
    <n v="4.33"/>
    <n v="5"/>
    <n v="22"/>
  </r>
  <r>
    <x v="0"/>
    <x v="1"/>
    <s v="medicinale/integratore per il mal di stomaco"/>
    <s v="acqua, sali minerali"/>
    <s v="medicinale/integratore per il mal di stomaco | acqua, sali minerali"/>
    <n v="1"/>
    <s v="nutrient/caloric or added-ingredient beverage"/>
    <m/>
    <n v="5.4"/>
    <x v="1"/>
    <n v="6.8"/>
    <n v="7.4"/>
    <n v="0"/>
    <n v="0"/>
    <n v="17"/>
    <n v="33.799999999999997"/>
    <n v="24.8"/>
    <n v="175.6"/>
    <n v="10"/>
    <n v="3.25"/>
    <n v="0.83"/>
    <n v="3.2"/>
    <n v="4.8600000000000003"/>
    <n v="4.2"/>
    <n v="5.25"/>
    <n v="4.33"/>
    <n v="5"/>
    <n v="22"/>
  </r>
  <r>
    <x v="1"/>
    <x v="1"/>
    <s v="acqua"/>
    <s v="sentivo un sapore come di plastica nell'acqua"/>
    <s v="acqua | sentivo un sapore come di plastica nell'acqua"/>
    <n v="0"/>
    <s v="plain water"/>
    <s v="ok"/>
    <n v="41.6"/>
    <x v="2"/>
    <n v="55.7"/>
    <n v="0"/>
    <n v="0"/>
    <n v="0"/>
    <n v="0"/>
    <n v="0"/>
    <n v="0"/>
    <n v="212.8"/>
    <n v="10"/>
    <n v="3.25"/>
    <n v="0.5"/>
    <n v="3.2"/>
    <n v="3.71"/>
    <n v="2.8"/>
    <n v="3.25"/>
    <n v="3.33"/>
    <n v="3.33"/>
    <n v="12"/>
  </r>
  <r>
    <x v="1"/>
    <x v="0"/>
    <s v="acqua con uno sciroppo zuccherino"/>
    <s v="c'era un ingrediente zuccherino aggiunto all'acqua"/>
    <s v="acqua con uno sciroppo zuccherino | c'era un ingrediente zuccherino aggiunto all'acqua"/>
    <n v="1"/>
    <s v="nutrient/caloric or added-ingredient beverage"/>
    <m/>
    <n v="59.4"/>
    <x v="3"/>
    <n v="58.2"/>
    <n v="0"/>
    <n v="0"/>
    <n v="0"/>
    <n v="13.5"/>
    <n v="11.3"/>
    <n v="0"/>
    <n v="138.69999999999999"/>
    <n v="10"/>
    <n v="3.25"/>
    <n v="0.5"/>
    <n v="3.2"/>
    <n v="3.71"/>
    <n v="2.8"/>
    <n v="3.25"/>
    <n v="3.33"/>
    <n v="3.33"/>
    <n v="12"/>
  </r>
  <r>
    <x v="2"/>
    <x v="0"/>
    <s v="gatorade"/>
    <s v="arancia"/>
    <s v="gatorade | arancia"/>
    <n v="1"/>
    <s v="nutrient/caloric or added-ingredient beverage"/>
    <s v="ok"/>
    <n v="20.2"/>
    <x v="4"/>
    <n v="20.2"/>
    <n v="0.9"/>
    <n v="1.1000000000000001"/>
    <n v="0.9"/>
    <n v="33.6"/>
    <n v="36.5"/>
    <n v="5.2"/>
    <n v="294.2"/>
    <n v="11"/>
    <n v="4.5"/>
    <n v="1.17"/>
    <n v="2"/>
    <n v="3.29"/>
    <n v="5.4"/>
    <n v="4.25"/>
    <n v="5.33"/>
    <n v="5"/>
    <n v="29"/>
  </r>
  <r>
    <x v="2"/>
    <x v="1"/>
    <s v="acqua"/>
    <s v="acqua"/>
    <s v="acqua | acqua"/>
    <n v="0"/>
    <s v="plain water"/>
    <m/>
    <n v="52.1"/>
    <x v="5"/>
    <n v="0"/>
    <n v="0"/>
    <n v="0"/>
    <n v="0"/>
    <n v="0"/>
    <n v="0"/>
    <n v="0"/>
    <n v="278.8"/>
    <n v="11"/>
    <n v="4.5"/>
    <n v="1.17"/>
    <n v="2"/>
    <n v="3.29"/>
    <n v="5.4"/>
    <n v="4.25"/>
    <n v="5.33"/>
    <n v="5"/>
    <n v="29"/>
  </r>
  <r>
    <x v="3"/>
    <x v="1"/>
    <s v="acqua insaporita"/>
    <s v="frutti rossi"/>
    <s v="acqua insaporita | frutti rossi"/>
    <n v="1"/>
    <s v="nutrient/caloric or added-ingredient beverage"/>
    <s v="ok"/>
    <n v="7.5"/>
    <x v="6"/>
    <n v="16"/>
    <n v="3.8"/>
    <n v="1.5"/>
    <n v="1.1000000000000001"/>
    <n v="7.5"/>
    <n v="7"/>
    <n v="5.4"/>
    <n v="51.6"/>
    <n v="10"/>
    <n v="6"/>
    <n v="1.5"/>
    <n v="3"/>
    <n v="4.71"/>
    <n v="5"/>
    <n v="3.25"/>
    <n v="5"/>
    <n v="6"/>
    <n v="25"/>
  </r>
  <r>
    <x v="3"/>
    <x v="0"/>
    <s v="acqua"/>
    <s v="solo acqua"/>
    <s v="acqua | solo acqua"/>
    <n v="0"/>
    <s v="plain water"/>
    <m/>
    <n v="42.8"/>
    <x v="7"/>
    <n v="0.7"/>
    <n v="1.1000000000000001"/>
    <n v="0.5"/>
    <n v="2.2999999999999998"/>
    <n v="1.5"/>
    <n v="1.6"/>
    <n v="1.2"/>
    <n v="112.6"/>
    <n v="10"/>
    <n v="6"/>
    <n v="1.5"/>
    <n v="3"/>
    <n v="4.71"/>
    <n v="5"/>
    <n v="3.25"/>
    <n v="5"/>
    <n v="6"/>
    <n v="25"/>
  </r>
  <r>
    <x v="4"/>
    <x v="0"/>
    <s v="acqua fruttata"/>
    <s v="acqua"/>
    <s v="acqua fruttata | acqua"/>
    <n v="1"/>
    <s v="nutrient/caloric or added-ingredient beverage"/>
    <s v="no"/>
    <n v="56.7"/>
    <x v="8"/>
    <n v="46.9"/>
    <n v="0"/>
    <n v="0"/>
    <n v="0"/>
    <n v="0"/>
    <n v="59.2"/>
    <n v="0"/>
    <n v="443"/>
    <n v="9"/>
    <n v="3.75"/>
    <n v="2.5"/>
    <n v="2.2000000000000002"/>
    <n v="3.43"/>
    <n v="2.8"/>
    <n v="3.5"/>
    <n v="3.33"/>
    <n v="5.67"/>
    <n v="16"/>
  </r>
  <r>
    <x v="4"/>
    <x v="1"/>
    <s v="qualcosa di dolce diluito in acqua"/>
    <s v="acqua"/>
    <s v="qualcosa di dolce diluito in acqua | acqua"/>
    <n v="1"/>
    <s v="nutrient/caloric or added-ingredient beverage"/>
    <m/>
    <n v="49.7"/>
    <x v="9"/>
    <n v="61.1"/>
    <n v="0"/>
    <n v="0"/>
    <n v="0"/>
    <n v="5.2"/>
    <n v="50.8"/>
    <n v="0"/>
    <n v="353.2"/>
    <n v="9"/>
    <n v="3.75"/>
    <n v="2.5"/>
    <n v="2.2000000000000002"/>
    <n v="3.43"/>
    <n v="2.8"/>
    <n v="3.5"/>
    <n v="3.33"/>
    <n v="5.67"/>
    <n v="16"/>
  </r>
  <r>
    <x v="5"/>
    <x v="1"/>
    <s v="aromatizzata"/>
    <s v="fragola"/>
    <s v="aromatizzata | fragola"/>
    <n v="1"/>
    <s v="nutrient/caloric or added-ingredient beverage"/>
    <s v="no"/>
    <n v="16.600000000000001"/>
    <x v="10"/>
    <n v="36.299999999999997"/>
    <n v="0"/>
    <n v="0"/>
    <n v="0"/>
    <n v="13.8"/>
    <n v="27.3"/>
    <n v="16.100000000000001"/>
    <n v="463.1"/>
    <n v="11"/>
    <n v="4.75"/>
    <n v="1.67"/>
    <n v="2.4"/>
    <n v="2.57"/>
    <n v="4.5999999999999996"/>
    <n v="2.75"/>
    <n v="2.67"/>
    <n v="3"/>
    <n v="17"/>
  </r>
  <r>
    <x v="5"/>
    <x v="0"/>
    <s v="acqua aromatizzata"/>
    <s v="pesca"/>
    <s v="acqua aromatizzata | pesca"/>
    <n v="1"/>
    <s v="nutrient/caloric or added-ingredient beverage"/>
    <m/>
    <n v="10.3"/>
    <x v="11"/>
    <n v="59.7"/>
    <n v="0"/>
    <n v="0"/>
    <n v="0"/>
    <n v="56.3"/>
    <n v="57.6"/>
    <n v="21.8"/>
    <n v="500"/>
    <n v="11"/>
    <n v="4.75"/>
    <n v="1.67"/>
    <n v="2.4"/>
    <n v="2.57"/>
    <n v="4.5999999999999996"/>
    <n v="2.75"/>
    <n v="2.67"/>
    <n v="3"/>
    <n v="17"/>
  </r>
  <r>
    <x v="6"/>
    <x v="0"/>
    <s v="pochissimo succo di frutta diluito con molta acqua"/>
    <s v="acqua e succo ma non so di che frutto"/>
    <s v="pochissimo succo di frutta diluito con molta acqua | acqua e succo ma non so di che frutto"/>
    <n v="1"/>
    <s v="nutrient/caloric or added-ingredient beverage"/>
    <s v="no"/>
    <n v="43"/>
    <x v="12"/>
    <n v="44.6"/>
    <n v="2.5"/>
    <n v="2.1"/>
    <n v="2.8"/>
    <n v="28.8"/>
    <n v="40.1"/>
    <n v="5.2"/>
    <n v="160.9"/>
    <n v="7"/>
    <n v="4.25"/>
    <n v="2"/>
    <n v="2.6"/>
    <n v="3.71"/>
    <n v="4.4000000000000004"/>
    <n v="3.25"/>
    <n v="4.67"/>
    <n v="3.67"/>
    <n v="20"/>
  </r>
  <r>
    <x v="6"/>
    <x v="1"/>
    <s v="acqua e un po' di zucchero o dolcificante"/>
    <s v="acqua e zucchero/dolcificante"/>
    <s v="acqua e un po' di zucchero o dolcificante | acqua e zucchero/dolcificante"/>
    <n v="1"/>
    <s v="nutrient/caloric or added-ingredient beverage"/>
    <m/>
    <n v="31.4"/>
    <x v="13"/>
    <n v="21.8"/>
    <n v="2.1"/>
    <n v="2.2999999999999998"/>
    <n v="2.5"/>
    <n v="14.2"/>
    <n v="18.899999999999999"/>
    <n v="2.4"/>
    <n v="158.80000000000001"/>
    <n v="7"/>
    <n v="4.25"/>
    <n v="2"/>
    <n v="2.6"/>
    <n v="3.71"/>
    <n v="4.4000000000000004"/>
    <n v="3.25"/>
    <n v="4.67"/>
    <n v="3.67"/>
    <n v="20"/>
  </r>
  <r>
    <x v="7"/>
    <x v="1"/>
    <s v="acqua naturale"/>
    <s v="acqua"/>
    <s v="acqua naturale | acqua"/>
    <n v="0"/>
    <s v="plain water"/>
    <s v="ok"/>
    <n v="23.3"/>
    <x v="14"/>
    <n v="0"/>
    <n v="3.4"/>
    <n v="0"/>
    <n v="25.5"/>
    <n v="0"/>
    <n v="0"/>
    <n v="0"/>
    <n v="205.8"/>
    <n v="9"/>
    <n v="3.75"/>
    <n v="0.67"/>
    <n v="2.6"/>
    <n v="3.57"/>
    <n v="3.4"/>
    <n v="3.25"/>
    <n v="3.33"/>
    <n v="3.67"/>
    <n v="25"/>
  </r>
  <r>
    <x v="7"/>
    <x v="0"/>
    <s v="the freddo"/>
    <s v="mela"/>
    <s v="the freddo | mela"/>
    <n v="1"/>
    <s v="nutrient/caloric or added-ingredient beverage"/>
    <m/>
    <n v="45"/>
    <x v="15"/>
    <n v="43.4"/>
    <n v="0"/>
    <n v="0"/>
    <n v="7.8"/>
    <n v="16.899999999999999"/>
    <n v="16.600000000000001"/>
    <n v="12.8"/>
    <n v="128.5"/>
    <n v="9"/>
    <n v="3.75"/>
    <n v="0.67"/>
    <n v="2.6"/>
    <n v="3.57"/>
    <n v="3.4"/>
    <n v="3.25"/>
    <n v="3.33"/>
    <n v="3.67"/>
    <n v="25"/>
  </r>
  <r>
    <x v="8"/>
    <x v="1"/>
    <s v="acqua"/>
    <s v="acqua"/>
    <s v="acqua | acqua"/>
    <n v="0"/>
    <s v="plain water"/>
    <s v="ok"/>
    <n v="47.1"/>
    <x v="16"/>
    <n v="1.3"/>
    <n v="2.4"/>
    <n v="1.7"/>
    <n v="1.5"/>
    <n v="1.1000000000000001"/>
    <n v="0.5"/>
    <n v="1.1000000000000001"/>
    <n v="234.6"/>
    <n v="10"/>
    <n v="5"/>
    <n v="2.17"/>
    <n v="2"/>
    <n v="4.1399999999999997"/>
    <n v="4.4000000000000004"/>
    <n v="5.25"/>
    <n v="2.33"/>
    <n v="4.33"/>
    <n v="16"/>
  </r>
  <r>
    <x v="8"/>
    <x v="0"/>
    <s v="SCIROPPO"/>
    <s v="NON RICONOSCO"/>
    <s v="SCIROPPO | NON RICONOSCO"/>
    <n v="1"/>
    <s v="nutrient/caloric or added-ingredient beverage"/>
    <m/>
    <n v="36.5"/>
    <x v="17"/>
    <n v="16.8"/>
    <n v="1.3"/>
    <n v="1.6"/>
    <n v="32"/>
    <n v="11"/>
    <n v="2.4"/>
    <n v="18.2"/>
    <n v="106.6"/>
    <n v="10"/>
    <n v="5"/>
    <n v="2.17"/>
    <n v="2"/>
    <n v="4.1399999999999997"/>
    <n v="4.4000000000000004"/>
    <n v="5.25"/>
    <n v="2.33"/>
    <n v="4.33"/>
    <n v="16"/>
  </r>
  <r>
    <x v="9"/>
    <x v="0"/>
    <s v="acqua con dolcificante"/>
    <s v="arancia, acqua"/>
    <s v="acqua con dolcificante | arancia, acqua"/>
    <n v="1"/>
    <s v="nutrient/caloric or added-ingredient beverage"/>
    <s v="ok"/>
    <n v="56.4"/>
    <x v="18"/>
    <n v="16.5"/>
    <n v="0"/>
    <n v="0"/>
    <n v="0"/>
    <n v="13"/>
    <n v="16.2"/>
    <n v="0"/>
    <n v="135.4"/>
    <n v="9"/>
    <n v="5"/>
    <n v="2.17"/>
    <n v="1.6"/>
    <n v="5.14"/>
    <n v="6"/>
    <n v="5"/>
    <n v="5"/>
    <n v="3"/>
    <n v="23"/>
  </r>
  <r>
    <x v="9"/>
    <x v="1"/>
    <s v="acqua"/>
    <s v="acqua"/>
    <s v="acqua | acqua"/>
    <n v="0"/>
    <s v="plain water"/>
    <m/>
    <n v="58.6"/>
    <x v="19"/>
    <n v="0"/>
    <n v="0"/>
    <n v="0"/>
    <n v="0"/>
    <n v="0"/>
    <n v="0"/>
    <n v="0"/>
    <n v="73.7"/>
    <n v="9"/>
    <n v="5"/>
    <n v="2.17"/>
    <n v="1.6"/>
    <n v="5.14"/>
    <n v="6"/>
    <n v="5"/>
    <n v="5"/>
    <n v="3"/>
    <n v="23"/>
  </r>
  <r>
    <x v="10"/>
    <x v="1"/>
    <s v="succo di frutta"/>
    <s v="acqua, uva, zucchero"/>
    <s v="succo di frutta | acqua, uva, zucchero"/>
    <n v="1"/>
    <s v="nutrient/caloric or added-ingredient beverage"/>
    <s v="no"/>
    <n v="30.2"/>
    <x v="20"/>
    <n v="73.099999999999994"/>
    <n v="0"/>
    <n v="0"/>
    <n v="0"/>
    <n v="31"/>
    <n v="50.5"/>
    <n v="0"/>
    <n v="170.2"/>
    <n v="10"/>
    <n v="4.75"/>
    <n v="1.5"/>
    <n v="2.2000000000000002"/>
    <n v="3.57"/>
    <n v="4"/>
    <n v="3.75"/>
    <n v="2.67"/>
    <n v="2.33"/>
    <n v="18"/>
  </r>
  <r>
    <x v="10"/>
    <x v="0"/>
    <s v="stesso succo di frutta di prima"/>
    <s v="stessi ingredienti (stessa di prima)"/>
    <s v="stesso succo di frutta di prima | stessi ingredienti (stessa di prima)"/>
    <n v="1"/>
    <s v="nutrient/caloric or added-ingredient beverage"/>
    <m/>
    <n v="36.700000000000003"/>
    <x v="21"/>
    <n v="48.9"/>
    <n v="0"/>
    <n v="0"/>
    <n v="0"/>
    <n v="54"/>
    <n v="44.6"/>
    <n v="0"/>
    <n v="146.80000000000001"/>
    <n v="10"/>
    <n v="4.75"/>
    <n v="1.5"/>
    <n v="2.2000000000000002"/>
    <n v="3.57"/>
    <n v="4"/>
    <n v="3.75"/>
    <n v="2.67"/>
    <n v="2.33"/>
    <n v="18"/>
  </r>
  <r>
    <x v="11"/>
    <x v="0"/>
    <s v="gatorade"/>
    <s v="fragola, zucchero"/>
    <s v="gatorade | fragola, zucchero"/>
    <n v="1"/>
    <s v="nutrient/caloric or added-ingredient beverage"/>
    <s v="ok"/>
    <n v="14.6"/>
    <x v="22"/>
    <n v="53.2"/>
    <n v="1.5"/>
    <n v="0"/>
    <n v="31.5"/>
    <n v="71.8"/>
    <n v="84"/>
    <n v="31.2"/>
    <n v="295.60000000000002"/>
    <n v="5"/>
    <n v="4.75"/>
    <n v="1"/>
    <n v="1"/>
    <n v="4.57"/>
    <n v="4.8"/>
    <n v="3.5"/>
    <n v="6"/>
    <n v="5.67"/>
    <n v="21"/>
  </r>
  <r>
    <x v="11"/>
    <x v="1"/>
    <s v="acqua"/>
    <s v="acqua"/>
    <s v="acqua | acqua"/>
    <n v="0"/>
    <s v="plain water"/>
    <m/>
    <n v="73.5"/>
    <x v="23"/>
    <n v="0"/>
    <n v="1.7"/>
    <n v="0"/>
    <n v="2"/>
    <n v="7.4"/>
    <n v="5.4"/>
    <n v="0"/>
    <n v="179"/>
    <n v="5"/>
    <n v="4.75"/>
    <n v="1"/>
    <n v="1"/>
    <n v="4.57"/>
    <n v="4.8"/>
    <n v="3.5"/>
    <n v="6"/>
    <n v="5.67"/>
    <n v="21"/>
  </r>
  <r>
    <x v="12"/>
    <x v="1"/>
    <s v="non saprei, era insapore, forse acqua lievemente saporita con qualche aroma"/>
    <s v="nessuno"/>
    <s v="non saprei, era insapore, forse acqua lievemente saporita con qualche aroma | nessuno"/>
    <n v="0"/>
    <s v="plain water"/>
    <s v="ok"/>
    <n v="34.200000000000003"/>
    <x v="24"/>
    <n v="8.8000000000000007"/>
    <n v="23"/>
    <n v="5"/>
    <n v="4.5999999999999996"/>
    <n v="31.8"/>
    <n v="30"/>
    <n v="20.6"/>
    <n v="122.7"/>
    <n v="10"/>
    <n v="4.25"/>
    <n v="0.67"/>
    <n v="1"/>
    <n v="4.29"/>
    <n v="4"/>
    <n v="4.25"/>
    <n v="5"/>
    <n v="6"/>
    <n v="20"/>
  </r>
  <r>
    <x v="12"/>
    <x v="0"/>
    <s v="qualcosa forse tipo anguria, solo che non ho percepito dolcezza ma qualcosa di lievemente salato"/>
    <s v="anguria, non sono sicura sia questo uno degli ingredienti ma in ogni caso se non è questo è qualcosa sempre su quella linea li"/>
    <s v="qualcosa forse tipo anguria, solo che non ho percepito dolcezza ma qualcosa di lievemente salato | anguria, non sono sicura sia questo uno degli ingredienti ma in ogni caso se non è questo è qualcosa sempre su quella linea li"/>
    <n v="1"/>
    <s v="nutrient/caloric or added-ingredient beverage"/>
    <m/>
    <n v="35.299999999999997"/>
    <x v="25"/>
    <n v="19"/>
    <n v="39.799999999999997"/>
    <n v="23.1"/>
    <n v="24.8"/>
    <n v="49.5"/>
    <n v="46.1"/>
    <n v="46.5"/>
    <n v="66.400000000000006"/>
    <n v="10"/>
    <n v="4.25"/>
    <n v="0.67"/>
    <n v="1"/>
    <n v="4.29"/>
    <n v="4"/>
    <n v="4.25"/>
    <n v="5"/>
    <n v="6"/>
    <n v="20"/>
  </r>
  <r>
    <x v="13"/>
    <x v="0"/>
    <s v="acqua con dolcificante"/>
    <s v="qualcosa alla fragola"/>
    <s v="acqua con dolcificante | qualcosa alla fragola"/>
    <n v="1"/>
    <s v="nutrient/caloric or added-ingredient beverage"/>
    <s v="ok"/>
    <n v="23.6"/>
    <x v="26"/>
    <n v="65.5"/>
    <n v="0"/>
    <n v="0"/>
    <n v="5.0999999999999996"/>
    <n v="70.2"/>
    <n v="77.900000000000006"/>
    <n v="73.2"/>
    <n v="213.8"/>
    <n v="9"/>
    <n v="5"/>
    <n v="0.83"/>
    <n v="1.8"/>
    <n v="3"/>
    <n v="3"/>
    <n v="4"/>
    <n v="4.67"/>
    <n v="3.33"/>
    <n v="25"/>
  </r>
  <r>
    <x v="13"/>
    <x v="1"/>
    <s v="acqua"/>
    <s v="acqua"/>
    <s v="acqua | acqua"/>
    <n v="0"/>
    <s v="plain water"/>
    <m/>
    <n v="56"/>
    <x v="27"/>
    <n v="2.5"/>
    <n v="0"/>
    <n v="0"/>
    <n v="0"/>
    <n v="17.7"/>
    <n v="18.2"/>
    <n v="8.3000000000000007"/>
    <n v="188.3"/>
    <n v="9"/>
    <n v="5"/>
    <n v="0.83"/>
    <n v="1.8"/>
    <n v="3"/>
    <n v="3"/>
    <n v="4"/>
    <n v="4.67"/>
    <n v="3.33"/>
    <n v="25"/>
  </r>
  <r>
    <x v="14"/>
    <x v="1"/>
    <s v="acqua"/>
    <s v="non ho riconosciuto ingredienti"/>
    <s v="acqua | non ho riconosciuto ingredienti"/>
    <n v="0"/>
    <s v="plain water"/>
    <s v="ok"/>
    <n v="1.7"/>
    <x v="28"/>
    <n v="1.7"/>
    <n v="2.4"/>
    <n v="0"/>
    <n v="0.8"/>
    <n v="3.8"/>
    <n v="3.4"/>
    <n v="2.9"/>
    <n v="211.1"/>
    <n v="9"/>
    <n v="4.5"/>
    <n v="1.17"/>
    <n v="3"/>
    <n v="3"/>
    <n v="4.4000000000000004"/>
    <n v="1.75"/>
    <n v="2.33"/>
    <n v="2.67"/>
    <n v="28"/>
  </r>
  <r>
    <x v="14"/>
    <x v="0"/>
    <s v="acqua"/>
    <s v="fragola"/>
    <s v="acqua | fragola"/>
    <n v="1"/>
    <s v="nutrient/caloric or added-ingredient beverage"/>
    <m/>
    <n v="0"/>
    <x v="29"/>
    <n v="0.1"/>
    <n v="0"/>
    <n v="0"/>
    <n v="2.4"/>
    <n v="6.6"/>
    <n v="7.4"/>
    <n v="0.1"/>
    <n v="197.1"/>
    <n v="9"/>
    <n v="4.5"/>
    <n v="1.17"/>
    <n v="3"/>
    <n v="3"/>
    <n v="4.4000000000000004"/>
    <n v="1.75"/>
    <n v="2.33"/>
    <n v="2.67"/>
    <n v="28"/>
  </r>
  <r>
    <x v="15"/>
    <x v="0"/>
    <s v="acqua e succo di mango"/>
    <s v="mango"/>
    <s v="acqua e succo di mango | mango"/>
    <n v="1"/>
    <s v="nutrient/caloric or added-ingredient beverage"/>
    <s v="ok"/>
    <n v="53.4"/>
    <x v="30"/>
    <n v="65"/>
    <n v="7.6"/>
    <n v="1.1000000000000001"/>
    <n v="11.5"/>
    <n v="9.6999999999999993"/>
    <n v="17.7"/>
    <n v="4.2"/>
    <n v="118"/>
    <n v="10"/>
    <n v="3.75"/>
    <n v="1.17"/>
    <n v="2.4"/>
    <n v="3.29"/>
    <n v="4.2"/>
    <n v="3.25"/>
    <n v="3.33"/>
    <n v="4.67"/>
    <n v="21"/>
  </r>
  <r>
    <x v="15"/>
    <x v="1"/>
    <s v="acqua"/>
    <s v="acqua"/>
    <s v="acqua | acqua"/>
    <n v="0"/>
    <s v="plain water"/>
    <m/>
    <n v="47.9"/>
    <x v="31"/>
    <n v="2.7"/>
    <n v="8.6"/>
    <n v="0.7"/>
    <n v="0.4"/>
    <n v="3.1"/>
    <n v="0.8"/>
    <n v="0.4"/>
    <n v="54.3"/>
    <n v="10"/>
    <n v="3.75"/>
    <n v="1.17"/>
    <n v="2.4"/>
    <n v="3.29"/>
    <n v="4.2"/>
    <n v="3.25"/>
    <n v="3.33"/>
    <n v="4.67"/>
    <n v="21"/>
  </r>
  <r>
    <x v="16"/>
    <x v="1"/>
    <s v="acqua"/>
    <s v="acqua, zucchero"/>
    <s v="acqua | acqua, zucchero"/>
    <n v="1"/>
    <s v="nutrient/caloric or added-ingredient beverage"/>
    <s v="no"/>
    <n v="65.7"/>
    <x v="32"/>
    <n v="33.9"/>
    <n v="0.8"/>
    <n v="0.5"/>
    <n v="7.1"/>
    <n v="2.7"/>
    <n v="6.2"/>
    <n v="0.9"/>
    <n v="103.2"/>
    <n v="9"/>
    <n v="4.25"/>
    <n v="2"/>
    <n v="4"/>
    <n v="4.57"/>
    <n v="4.4000000000000004"/>
    <n v="3.75"/>
    <n v="3.67"/>
    <n v="3.67"/>
    <n v="17"/>
  </r>
  <r>
    <x v="16"/>
    <x v="0"/>
    <s v="succo"/>
    <s v="lampone, mirtillo, frutti di bosco"/>
    <s v="succo | lampone, mirtillo, frutti di bosco"/>
    <n v="1"/>
    <s v="nutrient/caloric or added-ingredient beverage"/>
    <m/>
    <n v="50.4"/>
    <x v="33"/>
    <n v="66.5"/>
    <n v="0.7"/>
    <n v="1.2"/>
    <n v="21.7"/>
    <n v="50.1"/>
    <n v="63.4"/>
    <n v="9.1999999999999993"/>
    <n v="110.6"/>
    <n v="9"/>
    <n v="4.25"/>
    <n v="2"/>
    <n v="4"/>
    <n v="4.57"/>
    <n v="4.4000000000000004"/>
    <n v="3.75"/>
    <n v="3.67"/>
    <n v="3.67"/>
    <n v="17"/>
  </r>
  <r>
    <x v="17"/>
    <x v="0"/>
    <s v="te alla pesca diluito"/>
    <s v="te alla pesca,pesca"/>
    <s v="te alla pesca diluito | te alla pesca,pesca"/>
    <n v="1"/>
    <s v="nutrient/caloric or added-ingredient beverage"/>
    <s v="no"/>
    <n v="36.200000000000003"/>
    <x v="32"/>
    <n v="28.4"/>
    <n v="13.8"/>
    <n v="6"/>
    <n v="1.1000000000000001"/>
    <n v="17.7"/>
    <n v="21"/>
    <n v="0.8"/>
    <n v="127.3"/>
    <n v="9"/>
    <n v="5.75"/>
    <n v="1"/>
    <n v="2.8"/>
    <n v="5.71"/>
    <n v="5.4"/>
    <n v="5.25"/>
    <n v="4.67"/>
    <n v="5.67"/>
    <n v="28"/>
  </r>
  <r>
    <x v="17"/>
    <x v="1"/>
    <s v="te alla pesca diluito"/>
    <s v="te alla pesca,pesca"/>
    <s v="te alla pesca diluito | te alla pesca,pesca"/>
    <n v="1"/>
    <s v="nutrient/caloric or added-ingredient beverage"/>
    <m/>
    <n v="33"/>
    <x v="34"/>
    <n v="11.9"/>
    <n v="1.6"/>
    <n v="0"/>
    <n v="0.1"/>
    <n v="16.600000000000001"/>
    <n v="19.600000000000001"/>
    <n v="0"/>
    <n v="302.3"/>
    <n v="9"/>
    <n v="5.75"/>
    <n v="1"/>
    <n v="2.8"/>
    <n v="5.71"/>
    <n v="5.4"/>
    <n v="5.25"/>
    <n v="4.67"/>
    <n v="5.67"/>
    <n v="28"/>
  </r>
  <r>
    <x v="18"/>
    <x v="1"/>
    <s v="acqua"/>
    <s v="acqua"/>
    <s v="acqua | acqua"/>
    <n v="0"/>
    <s v="plain water"/>
    <s v="ok"/>
    <n v="51.6"/>
    <x v="35"/>
    <n v="1.2"/>
    <n v="1.1000000000000001"/>
    <n v="0.9"/>
    <n v="0.5"/>
    <n v="5.5"/>
    <n v="0.3"/>
    <n v="0.5"/>
    <n v="379.4"/>
    <n v="6"/>
    <n v="3.75"/>
    <n v="1.33"/>
    <n v="3.6"/>
    <n v="3"/>
    <n v="4"/>
    <n v="3.25"/>
    <n v="3"/>
    <n v="3.33"/>
    <n v="25"/>
  </r>
  <r>
    <x v="18"/>
    <x v="0"/>
    <s v="succo"/>
    <s v="arancia"/>
    <s v="succo | arancia"/>
    <n v="1"/>
    <s v="nutrient/caloric or added-ingredient beverage"/>
    <m/>
    <n v="63.3"/>
    <x v="36"/>
    <n v="24.4"/>
    <n v="0.8"/>
    <n v="1.6"/>
    <n v="2.4"/>
    <n v="13.9"/>
    <n v="9.4"/>
    <n v="0.5"/>
    <n v="149.5"/>
    <n v="6"/>
    <n v="3.75"/>
    <n v="1.33"/>
    <n v="3.6"/>
    <n v="3"/>
    <n v="4"/>
    <n v="3.25"/>
    <n v="3"/>
    <n v="3.33"/>
    <n v="25"/>
  </r>
  <r>
    <x v="19"/>
    <x v="0"/>
    <s v="succo"/>
    <s v="frutta"/>
    <s v="succo | frutta"/>
    <n v="1"/>
    <s v="nutrient/caloric or added-ingredient beverage"/>
    <s v="ok"/>
    <n v="72.900000000000006"/>
    <x v="37"/>
    <n v="80.8"/>
    <n v="1.3"/>
    <n v="1.3"/>
    <n v="1.1000000000000001"/>
    <n v="23.3"/>
    <n v="25.2"/>
    <n v="1.5"/>
    <n v="113.9"/>
    <n v="10"/>
    <n v="4"/>
    <n v="0.67"/>
    <n v="2.6"/>
    <n v="4.1399999999999997"/>
    <n v="4.4000000000000004"/>
    <n v="4"/>
    <n v="4.67"/>
    <n v="4.67"/>
    <n v="33"/>
  </r>
  <r>
    <x v="19"/>
    <x v="1"/>
    <s v="acqua"/>
    <s v="acqua"/>
    <s v="acqua | acqua"/>
    <n v="0"/>
    <s v="plain water"/>
    <m/>
    <n v="93.4"/>
    <x v="38"/>
    <n v="49"/>
    <n v="0"/>
    <n v="0.5"/>
    <n v="0.6"/>
    <n v="0.3"/>
    <n v="0.4"/>
    <n v="0.1"/>
    <n v="212.2"/>
    <n v="10"/>
    <n v="4"/>
    <n v="0.67"/>
    <n v="2.6"/>
    <n v="4.1399999999999997"/>
    <n v="4.4000000000000004"/>
    <n v="4"/>
    <n v="4.67"/>
    <n v="4.67"/>
    <n v="33"/>
  </r>
  <r>
    <x v="20"/>
    <x v="1"/>
    <s v="magnesium plus"/>
    <s v="ananas"/>
    <s v="magnesium plus | ananas"/>
    <n v="1"/>
    <s v="nutrient/caloric or added-ingredient beverage"/>
    <s v="no"/>
    <n v="56.8"/>
    <x v="39"/>
    <n v="55.4"/>
    <n v="20.399999999999999"/>
    <n v="3.9"/>
    <n v="5.9"/>
    <n v="32"/>
    <n v="15.5"/>
    <n v="21.7"/>
    <n v="489.9"/>
    <n v="8"/>
    <n v="4.25"/>
    <n v="1.5"/>
    <n v="1.4"/>
    <n v="4.29"/>
    <n v="4"/>
    <n v="3.5"/>
    <n v="3.67"/>
    <n v="4.33"/>
    <n v="24"/>
  </r>
  <r>
    <x v="20"/>
    <x v="0"/>
    <s v="red bull"/>
    <s v="fragola"/>
    <s v="red bull | fragola"/>
    <n v="1"/>
    <s v="nutrient/caloric or added-ingredient beverage"/>
    <m/>
    <n v="68"/>
    <x v="40"/>
    <n v="67.400000000000006"/>
    <n v="2"/>
    <n v="1.2"/>
    <n v="5.2"/>
    <n v="63"/>
    <n v="66.099999999999994"/>
    <n v="58.4"/>
    <n v="191.7"/>
    <n v="8"/>
    <n v="4.25"/>
    <n v="1.5"/>
    <n v="1.4"/>
    <n v="4.29"/>
    <n v="4"/>
    <n v="3.5"/>
    <n v="3.67"/>
    <n v="4.33"/>
    <n v="24"/>
  </r>
  <r>
    <x v="21"/>
    <x v="0"/>
    <s v="succo"/>
    <s v="carota arancia"/>
    <s v="succo | carota arancia"/>
    <n v="1"/>
    <s v="nutrient/caloric or added-ingredient beverage"/>
    <s v="no"/>
    <n v="49.3"/>
    <x v="41"/>
    <n v="60.1"/>
    <n v="3.6"/>
    <n v="3.1"/>
    <n v="4.4000000000000004"/>
    <n v="10.5"/>
    <n v="9.6999999999999993"/>
    <n v="8.6999999999999993"/>
    <n v="244"/>
    <n v="11"/>
    <n v="3.75"/>
    <n v="1.83"/>
    <n v="2.8"/>
    <n v="3.14"/>
    <n v="2"/>
    <n v="2.25"/>
    <n v="2"/>
    <n v="4"/>
    <n v="12"/>
  </r>
  <r>
    <x v="21"/>
    <x v="1"/>
    <s v="acqua con qualche sapore"/>
    <s v="carota o arancia o fragola"/>
    <s v="acqua con qualche sapore | carota o arancia o fragola"/>
    <n v="1"/>
    <s v="nutrient/caloric or added-ingredient beverage"/>
    <m/>
    <n v="35"/>
    <x v="42"/>
    <n v="22.4"/>
    <n v="2"/>
    <n v="2.5"/>
    <n v="3.5"/>
    <n v="12.6"/>
    <n v="2.1"/>
    <n v="1.6"/>
    <n v="215.8"/>
    <n v="11"/>
    <n v="3.75"/>
    <n v="1.83"/>
    <n v="2.8"/>
    <n v="3.14"/>
    <n v="2"/>
    <n v="2.25"/>
    <n v="2"/>
    <n v="4"/>
    <n v="12"/>
  </r>
  <r>
    <x v="22"/>
    <x v="1"/>
    <s v="gatorade"/>
    <s v="arancia"/>
    <s v="Gatorade | Arancia"/>
    <n v="1"/>
    <s v="nutrient/caloric or added-ingredient beverage"/>
    <s v="no"/>
    <n v="59"/>
    <x v="43"/>
    <n v="33.5"/>
    <n v="55.1"/>
    <n v="23.6"/>
    <n v="3.8"/>
    <n v="27.9"/>
    <n v="18.600000000000001"/>
    <n v="5.6"/>
    <n v="131.4"/>
    <n v="8"/>
    <n v="4.75"/>
    <n v="1.33"/>
    <n v="3.8"/>
    <n v="5.29"/>
    <n v="3.4"/>
    <n v="5"/>
    <n v="4.33"/>
    <n v="5"/>
    <n v="21"/>
  </r>
  <r>
    <x v="22"/>
    <x v="0"/>
    <s v="Esta The"/>
    <s v="Limone"/>
    <s v="Esta The | Limone"/>
    <n v="1"/>
    <s v="nutrient/caloric or added-ingredient beverage"/>
    <m/>
    <n v="63.4"/>
    <x v="44"/>
    <n v="62.5"/>
    <n v="52.9"/>
    <n v="23.1"/>
    <n v="1.3"/>
    <n v="72.099999999999994"/>
    <n v="71.8"/>
    <n v="31.5"/>
    <n v="68.400000000000006"/>
    <n v="8"/>
    <n v="4.75"/>
    <n v="1.33"/>
    <n v="3.8"/>
    <n v="5.29"/>
    <n v="3.4"/>
    <n v="5"/>
    <n v="4.33"/>
    <n v="5"/>
    <n v="21"/>
  </r>
  <r>
    <x v="23"/>
    <x v="0"/>
    <s v="Succo all'ananas o multivitaminico"/>
    <s v="ananas, frutta in generale, acqua"/>
    <s v="Succo all'ananas o multivitaminico | ananas, frutta in generale, acqua"/>
    <n v="1"/>
    <s v="nutrient/caloric or added-ingredient beverage"/>
    <s v="no"/>
    <n v="68.2"/>
    <x v="45"/>
    <n v="38.200000000000003"/>
    <n v="0"/>
    <n v="0"/>
    <n v="0"/>
    <n v="24.9"/>
    <n v="68.599999999999994"/>
    <n v="0"/>
    <n v="165.5"/>
    <n v="10"/>
    <n v="4.5"/>
    <n v="1.67"/>
    <n v="2.4"/>
    <n v="3.43"/>
    <n v="5.4"/>
    <n v="3.5"/>
    <n v="3.33"/>
    <n v="4.33"/>
    <n v="28"/>
  </r>
  <r>
    <x v="23"/>
    <x v="1"/>
    <s v="Succo multivitaminico"/>
    <s v="acqua, ananas"/>
    <s v="Succo multivitaminico | acqua, ananas"/>
    <n v="1"/>
    <s v="nutrient/caloric or added-ingredient beverage"/>
    <m/>
    <n v="49.2"/>
    <x v="46"/>
    <n v="23.1"/>
    <n v="0"/>
    <n v="0"/>
    <n v="0"/>
    <n v="44.5"/>
    <n v="45.3"/>
    <n v="0"/>
    <n v="246"/>
    <n v="10"/>
    <n v="4.5"/>
    <n v="1.67"/>
    <n v="2.4"/>
    <n v="3.43"/>
    <n v="5.4"/>
    <n v="3.5"/>
    <n v="3.33"/>
    <n v="4.33"/>
    <n v="28"/>
  </r>
  <r>
    <x v="24"/>
    <x v="1"/>
    <s v="acqua"/>
    <s v="SALI MINERALI"/>
    <s v="ACQUA | SALI MINERALI"/>
    <n v="1"/>
    <s v="nutrient/caloric or added-ingredient beverage"/>
    <s v="no"/>
    <n v="57.5"/>
    <x v="47"/>
    <n v="7.8"/>
    <n v="4.3"/>
    <n v="0"/>
    <n v="0"/>
    <n v="3.2"/>
    <n v="1.6"/>
    <n v="0"/>
    <n v="345.2"/>
    <n v="10"/>
    <n v="4.5"/>
    <n v="2.17"/>
    <n v="1.4"/>
    <n v="4"/>
    <n v="4.8"/>
    <n v="4"/>
    <n v="4.33"/>
    <n v="5"/>
    <n v="32"/>
  </r>
  <r>
    <x v="24"/>
    <x v="0"/>
    <s v="TE FREDDO"/>
    <s v="PESCA"/>
    <s v="TE FREDDO | PESCA"/>
    <n v="1"/>
    <s v="nutrient/caloric or added-ingredient beverage"/>
    <m/>
    <n v="58.8"/>
    <x v="48"/>
    <n v="13.4"/>
    <n v="0"/>
    <n v="0.7"/>
    <n v="0"/>
    <n v="12.7"/>
    <n v="7.1"/>
    <n v="0"/>
    <n v="237.9"/>
    <n v="10"/>
    <n v="4.5"/>
    <n v="2.17"/>
    <n v="1.4"/>
    <n v="4"/>
    <n v="4.8"/>
    <n v="4"/>
    <n v="4.33"/>
    <n v="5"/>
    <n v="32"/>
  </r>
  <r>
    <x v="25"/>
    <x v="0"/>
    <s v="FERMENTI LATTICI"/>
    <s v="DOLCIFICANTE"/>
    <s v="FERMENTI LATTICI | DOLCIFICANTE"/>
    <n v="1"/>
    <s v="nutrient/caloric or added-ingredient beverage"/>
    <s v="ok"/>
    <n v="36.5"/>
    <x v="49"/>
    <n v="32.299999999999997"/>
    <n v="18.399999999999999"/>
    <n v="19.7"/>
    <n v="27.3"/>
    <n v="31.5"/>
    <n v="19"/>
    <n v="48.9"/>
    <n v="312.3"/>
    <n v="9"/>
    <n v="4.25"/>
    <n v="1"/>
    <n v="3.4"/>
    <n v="3.43"/>
    <n v="5"/>
    <n v="3.75"/>
    <n v="4.67"/>
    <n v="5"/>
    <n v="21"/>
  </r>
  <r>
    <x v="25"/>
    <x v="1"/>
    <s v="Acqua"/>
    <s v="Acqua"/>
    <s v="Acqua | Acqua"/>
    <n v="0"/>
    <s v="plain water"/>
    <m/>
    <n v="57.5"/>
    <x v="50"/>
    <n v="2.1"/>
    <n v="5.0999999999999996"/>
    <n v="1.9"/>
    <n v="1.1000000000000001"/>
    <n v="7.9"/>
    <n v="3.1"/>
    <n v="2.9"/>
    <n v="183"/>
    <n v="9"/>
    <n v="4.25"/>
    <n v="1"/>
    <n v="3.4"/>
    <n v="3.43"/>
    <n v="5"/>
    <n v="3.75"/>
    <n v="4.67"/>
    <n v="5"/>
    <n v="21"/>
  </r>
  <r>
    <x v="26"/>
    <x v="1"/>
    <s v="ACQUA"/>
    <s v="ACQUA"/>
    <s v="ACQUA | ACQUA"/>
    <n v="0"/>
    <s v="plain water"/>
    <s v="ok"/>
    <n v="71.3"/>
    <x v="19"/>
    <n v="0"/>
    <n v="0"/>
    <n v="0"/>
    <n v="0"/>
    <n v="0"/>
    <n v="0"/>
    <n v="0"/>
    <n v="164.2"/>
    <n v="10"/>
    <n v="4.25"/>
    <n v="0.67"/>
    <n v="3.2"/>
    <n v="5.14"/>
    <n v="5.4"/>
    <n v="4.5"/>
    <n v="3.67"/>
    <n v="4.33"/>
    <n v="24"/>
  </r>
  <r>
    <x v="26"/>
    <x v="0"/>
    <s v="ACQUA E SCIROPPO"/>
    <s v="ACQUA"/>
    <s v="ACQUA E SCIROPPO | ACQUA"/>
    <n v="1"/>
    <s v="nutrient/caloric or added-ingredient beverage"/>
    <m/>
    <n v="50.7"/>
    <x v="51"/>
    <n v="38.1"/>
    <n v="0"/>
    <n v="9.9"/>
    <n v="5.4"/>
    <n v="17.7"/>
    <n v="13.8"/>
    <n v="0"/>
    <n v="136.69999999999999"/>
    <n v="10"/>
    <n v="4.25"/>
    <n v="0.67"/>
    <n v="3.2"/>
    <n v="5.14"/>
    <n v="5.4"/>
    <n v="4.5"/>
    <n v="3.67"/>
    <n v="4.33"/>
    <n v="24"/>
  </r>
  <r>
    <x v="27"/>
    <x v="1"/>
    <s v="acqua"/>
    <s v="acqua"/>
    <s v="acqua | acqua"/>
    <n v="0"/>
    <s v="plain water"/>
    <s v="ok"/>
    <n v="41.7"/>
    <x v="52"/>
    <n v="9.3000000000000007"/>
    <n v="4.2"/>
    <n v="0"/>
    <n v="0"/>
    <n v="5.9"/>
    <n v="3"/>
    <n v="2.4"/>
    <n v="241.1"/>
    <n v="9"/>
    <n v="4.5"/>
    <n v="2"/>
    <n v="4.2"/>
    <n v="4.43"/>
    <n v="5.8"/>
    <n v="3.25"/>
    <n v="4.33"/>
    <n v="5.33"/>
    <n v="18"/>
  </r>
  <r>
    <x v="27"/>
    <x v="0"/>
    <s v="succo di mela diluito"/>
    <s v="mela, acqua"/>
    <s v="succo di mela diluito | mela, acqua"/>
    <n v="1"/>
    <s v="nutrient/caloric or added-ingredient beverage"/>
    <m/>
    <n v="46.9"/>
    <x v="53"/>
    <n v="9.9"/>
    <n v="2.8"/>
    <n v="1.5"/>
    <n v="0"/>
    <n v="16.5"/>
    <n v="24.9"/>
    <n v="2.5"/>
    <n v="297.60000000000002"/>
    <n v="9"/>
    <n v="4.5"/>
    <n v="2"/>
    <n v="4.2"/>
    <n v="4.43"/>
    <n v="5.8"/>
    <n v="3.25"/>
    <n v="4.33"/>
    <n v="5.33"/>
    <n v="18"/>
  </r>
  <r>
    <x v="28"/>
    <x v="0"/>
    <s v="succo alla pera"/>
    <s v="pera, mela"/>
    <s v="succo alla pera | pera, mela"/>
    <n v="1"/>
    <s v="nutrient/caloric or added-ingredient beverage"/>
    <s v="ok"/>
    <n v="14.5"/>
    <x v="54"/>
    <n v="59"/>
    <n v="8.8000000000000007"/>
    <n v="5.5"/>
    <n v="8"/>
    <n v="27.4"/>
    <n v="63.6"/>
    <n v="12.9"/>
    <n v="305"/>
    <n v="10"/>
    <n v="3.75"/>
    <n v="2.67"/>
    <n v="3.6"/>
    <n v="3.43"/>
    <n v="3.8"/>
    <n v="1.25"/>
    <n v="2.67"/>
    <n v="4.67"/>
    <n v="23"/>
  </r>
  <r>
    <x v="28"/>
    <x v="1"/>
    <s v="acqua del  rubinetto"/>
    <s v="acqua"/>
    <s v="acqua del  rubinetto | acqua"/>
    <n v="0"/>
    <s v="plain water"/>
    <m/>
    <n v="41.6"/>
    <x v="55"/>
    <n v="2.9"/>
    <n v="2.2999999999999998"/>
    <n v="1.6"/>
    <n v="1.5"/>
    <n v="5"/>
    <n v="2.9"/>
    <n v="2.9"/>
    <n v="261.2"/>
    <n v="10"/>
    <n v="3.75"/>
    <n v="2.67"/>
    <n v="3.6"/>
    <n v="3.43"/>
    <n v="3.8"/>
    <n v="1.25"/>
    <n v="2.67"/>
    <n v="4.67"/>
    <n v="23"/>
  </r>
  <r>
    <x v="29"/>
    <x v="1"/>
    <s v="ACQUA"/>
    <s v="ACQUA"/>
    <s v="ACQUA | ACQUA"/>
    <n v="0"/>
    <s v="plain water"/>
    <s v="ok"/>
    <n v="100"/>
    <x v="19"/>
    <n v="0"/>
    <n v="0"/>
    <n v="0"/>
    <n v="0"/>
    <n v="0"/>
    <n v="0"/>
    <n v="0"/>
    <n v="166.2"/>
    <n v="10"/>
    <n v="4.75"/>
    <n v="1"/>
    <n v="1.6"/>
    <n v="4.29"/>
    <n v="5.4"/>
    <n v="4.75"/>
    <n v="3.67"/>
    <n v="6"/>
    <n v="27"/>
  </r>
  <r>
    <x v="29"/>
    <x v="0"/>
    <s v="ACQUA CON UN PO' DI SUCCO DI MELA"/>
    <s v="MELA"/>
    <s v="ACQUA CON UN PO' DI SUCCO DI MELA | MELA"/>
    <n v="1"/>
    <s v="nutrient/caloric or added-ingredient beverage"/>
    <m/>
    <n v="100"/>
    <x v="56"/>
    <n v="3.5"/>
    <n v="0"/>
    <n v="0"/>
    <n v="0"/>
    <n v="0.7"/>
    <n v="1.6"/>
    <n v="0"/>
    <n v="149.5"/>
    <n v="10"/>
    <n v="4.75"/>
    <n v="1"/>
    <n v="1.6"/>
    <n v="4.29"/>
    <n v="5.4"/>
    <n v="4.75"/>
    <n v="3.67"/>
    <n v="6"/>
    <n v="27"/>
  </r>
  <r>
    <x v="30"/>
    <x v="0"/>
    <s v="ACQUA AROMATIZZATA"/>
    <s v="ANANAS"/>
    <s v="ACQUA AROMATIZZATA | ANANAS"/>
    <n v="1"/>
    <s v="nutrient/caloric or added-ingredient beverage"/>
    <s v="ok"/>
    <n v="3.6"/>
    <x v="57"/>
    <n v="61.5"/>
    <n v="4.4000000000000004"/>
    <n v="5.8"/>
    <n v="4.4000000000000004"/>
    <n v="25.5"/>
    <n v="24.3"/>
    <n v="8"/>
    <n v="325.10000000000002"/>
    <n v="10"/>
    <n v="5"/>
    <n v="0.67"/>
    <n v="2.4"/>
    <n v="2.14"/>
    <n v="5.6"/>
    <n v="2.75"/>
    <n v="2.67"/>
    <n v="4"/>
    <n v="20"/>
  </r>
  <r>
    <x v="30"/>
    <x v="1"/>
    <s v="acqua"/>
    <s v="solo acqua"/>
    <s v="acqua | solo acqua"/>
    <n v="0"/>
    <s v="plain water"/>
    <m/>
    <n v="65.5"/>
    <x v="19"/>
    <n v="0"/>
    <n v="0"/>
    <n v="0"/>
    <n v="0"/>
    <n v="0"/>
    <n v="0"/>
    <n v="0"/>
    <n v="461.6"/>
    <n v="10"/>
    <n v="5"/>
    <n v="0.67"/>
    <n v="2.4"/>
    <n v="2.14"/>
    <n v="5.6"/>
    <n v="2.75"/>
    <n v="2.67"/>
    <n v="4"/>
    <n v="20"/>
  </r>
  <r>
    <x v="31"/>
    <x v="0"/>
    <s v="Acqua con una polvere saporita"/>
    <s v="Banana"/>
    <s v="Acqua con una polvere saporita | Banana"/>
    <n v="1"/>
    <s v="nutrient/caloric or added-ingredient beverage"/>
    <s v="no"/>
    <n v="59.7"/>
    <x v="58"/>
    <n v="4.2"/>
    <n v="0"/>
    <n v="0"/>
    <n v="0"/>
    <n v="29"/>
    <n v="18"/>
    <n v="5.0999999999999996"/>
    <n v="231.9"/>
    <n v="9"/>
    <n v="3.25"/>
    <n v="0.83"/>
    <n v="2"/>
    <n v="3.43"/>
    <n v="3.4"/>
    <n v="2.75"/>
    <n v="3.33"/>
    <n v="4.33"/>
    <n v="20"/>
  </r>
  <r>
    <x v="31"/>
    <x v="1"/>
    <s v="Acqua con sali minerali"/>
    <s v="acqua"/>
    <s v="Acqua con sali minerali | acqua"/>
    <n v="1"/>
    <s v="nutrient/caloric or added-ingredient beverage"/>
    <m/>
    <n v="66.599999999999994"/>
    <x v="59"/>
    <n v="0"/>
    <n v="0.5"/>
    <n v="0"/>
    <n v="0"/>
    <n v="0.4"/>
    <n v="0"/>
    <n v="0"/>
    <n v="211.8"/>
    <n v="9"/>
    <n v="3.25"/>
    <n v="0.83"/>
    <n v="2"/>
    <n v="3.43"/>
    <n v="3.4"/>
    <n v="2.75"/>
    <n v="3.33"/>
    <n v="4.33"/>
    <n v="20"/>
  </r>
  <r>
    <x v="32"/>
    <x v="1"/>
    <s v="acqua"/>
    <s v="acqua"/>
    <s v="acqua | acqua"/>
    <n v="0"/>
    <s v="plain water"/>
    <s v="no"/>
    <n v="40.6"/>
    <x v="60"/>
    <n v="0"/>
    <n v="2.7"/>
    <n v="0"/>
    <n v="0"/>
    <n v="2.8"/>
    <n v="0.4"/>
    <n v="0.8"/>
    <n v="187"/>
    <n v="9"/>
    <n v="5.25"/>
    <n v="1.33"/>
    <n v="2.2000000000000002"/>
    <n v="5"/>
    <n v="5.2"/>
    <n v="4.75"/>
    <n v="4.67"/>
    <n v="5"/>
    <n v="28"/>
  </r>
  <r>
    <x v="32"/>
    <x v="0"/>
    <s v="acqua strana"/>
    <s v="acqua"/>
    <s v="acqua strana | acqua"/>
    <n v="0"/>
    <s v="plain water"/>
    <m/>
    <n v="20.5"/>
    <x v="55"/>
    <n v="17.2"/>
    <n v="3.9"/>
    <n v="0"/>
    <n v="0"/>
    <n v="5"/>
    <n v="4"/>
    <n v="0"/>
    <n v="259.39999999999998"/>
    <n v="9"/>
    <n v="5.25"/>
    <n v="1.33"/>
    <n v="2.2000000000000002"/>
    <n v="5"/>
    <n v="5.2"/>
    <n v="4.75"/>
    <n v="4.67"/>
    <n v="5"/>
    <n v="28"/>
  </r>
  <r>
    <x v="33"/>
    <x v="0"/>
    <s v="ACQUA SCIROPPATA"/>
    <s v="ZUCCHERO, SALE"/>
    <s v="ACQUA SCIROPPATA | ZUCCHERO, SALE"/>
    <n v="1"/>
    <s v="nutrient/caloric or added-ingredient beverage"/>
    <s v="no"/>
    <n v="39.9"/>
    <x v="61"/>
    <n v="13.8"/>
    <n v="40.200000000000003"/>
    <n v="0"/>
    <n v="0"/>
    <n v="4.5999999999999996"/>
    <n v="4.3"/>
    <n v="4.8"/>
    <n v="172.3"/>
    <n v="7"/>
    <n v="4"/>
    <n v="1"/>
    <n v="2.2000000000000002"/>
    <n v="4"/>
    <n v="4.5999999999999996"/>
    <n v="4"/>
    <n v="3"/>
    <n v="4.33"/>
    <n v="25"/>
  </r>
  <r>
    <x v="33"/>
    <x v="1"/>
    <s v="ACQUA CON TRACCE DI SEDANO"/>
    <s v="SEDANO"/>
    <s v="ACQUA CON TRACCE DI SEDANO | SEDANO"/>
    <n v="1"/>
    <s v="nutrient/caloric or added-ingredient beverage"/>
    <m/>
    <n v="40.9"/>
    <x v="62"/>
    <n v="0.5"/>
    <n v="43.8"/>
    <n v="0"/>
    <n v="0"/>
    <n v="8.8000000000000007"/>
    <n v="8.6999999999999993"/>
    <n v="1.5"/>
    <n v="307.60000000000002"/>
    <n v="7"/>
    <n v="4"/>
    <n v="1"/>
    <n v="2.2000000000000002"/>
    <n v="4"/>
    <n v="4.5999999999999996"/>
    <n v="4"/>
    <n v="3"/>
    <n v="4.33"/>
    <n v="25"/>
  </r>
  <r>
    <x v="34"/>
    <x v="0"/>
    <s v="acqua aromatizzata"/>
    <s v="lampone"/>
    <s v="acqua aromatizzata | lampone"/>
    <n v="1"/>
    <s v="nutrient/caloric or added-ingredient beverage"/>
    <s v="ok"/>
    <n v="35.9"/>
    <x v="63"/>
    <n v="73.400000000000006"/>
    <n v="0"/>
    <n v="0"/>
    <n v="0"/>
    <n v="21"/>
    <n v="42.4"/>
    <n v="5"/>
    <n v="474.2"/>
    <n v="9"/>
    <n v="3.25"/>
    <n v="0.5"/>
    <n v="3.6"/>
    <n v="3.71"/>
    <n v="4.8"/>
    <n v="4.5"/>
    <n v="2.67"/>
    <n v="4.33"/>
    <n v="21"/>
  </r>
  <r>
    <x v="34"/>
    <x v="1"/>
    <s v="acqua"/>
    <s v="acqua"/>
    <s v="acqua | acqua"/>
    <n v="0"/>
    <s v="plain water"/>
    <m/>
    <n v="56.7"/>
    <x v="19"/>
    <n v="0"/>
    <n v="4"/>
    <n v="0"/>
    <n v="0"/>
    <n v="0.9"/>
    <n v="0"/>
    <n v="0"/>
    <n v="477.9"/>
    <n v="9"/>
    <n v="3.25"/>
    <n v="0.5"/>
    <n v="3.6"/>
    <n v="3.71"/>
    <n v="4.8"/>
    <n v="4.5"/>
    <n v="2.67"/>
    <n v="4.33"/>
    <n v="21"/>
  </r>
  <r>
    <x v="35"/>
    <x v="1"/>
    <s v="Acqua"/>
    <s v="Acqua"/>
    <s v="Acqua | Acqua"/>
    <n v="0"/>
    <s v="plain water"/>
    <s v="ok"/>
    <n v="54.4"/>
    <x v="34"/>
    <n v="1.6"/>
    <n v="0.7"/>
    <n v="0"/>
    <n v="0"/>
    <n v="0"/>
    <n v="0"/>
    <n v="0"/>
    <n v="246.6"/>
    <n v="8"/>
    <n v="3.75"/>
    <n v="1.83"/>
    <n v="2.8"/>
    <n v="1.71"/>
    <n v="3.2"/>
    <n v="1"/>
    <n v="1.33"/>
    <n v="1.33"/>
    <n v="28"/>
  </r>
  <r>
    <x v="35"/>
    <x v="0"/>
    <s v="Acqua mista a sciroppo"/>
    <s v="Acqua e sciroppo molto zuccherato"/>
    <s v="Acqua mista a sciroppo | Acqua e sciroppo molto zuccherato"/>
    <n v="1"/>
    <s v="nutrient/caloric or added-ingredient beverage"/>
    <m/>
    <n v="21.3"/>
    <x v="64"/>
    <n v="68.5"/>
    <n v="0"/>
    <n v="0"/>
    <n v="0"/>
    <n v="36.5"/>
    <n v="49.2"/>
    <n v="39"/>
    <n v="179"/>
    <n v="8"/>
    <n v="3.75"/>
    <n v="1.83"/>
    <n v="2.8"/>
    <n v="1.71"/>
    <n v="3.2"/>
    <n v="1"/>
    <n v="1.33"/>
    <n v="1.33"/>
    <n v="28"/>
  </r>
  <r>
    <x v="36"/>
    <x v="0"/>
    <s v="qualcosa di dolce molto diluito, tipo acqua aromatizzata"/>
    <s v="acqua, qualcosa per addolcire"/>
    <s v="qualcosa di dolce molto diluito, tipo acqua aromatizzata | acqua, qualcosa per addolcire"/>
    <n v="1"/>
    <s v="nutrient/caloric or added-ingredient beverage"/>
    <s v="ok"/>
    <n v="19.2"/>
    <x v="18"/>
    <n v="46.8"/>
    <n v="21.4"/>
    <n v="15.3"/>
    <n v="19.7"/>
    <n v="18.899999999999999"/>
    <n v="25.5"/>
    <n v="21.8"/>
    <n v="175.2"/>
    <n v="11"/>
    <n v="4.5"/>
    <n v="0.17"/>
    <n v="2.8"/>
    <n v="3.86"/>
    <n v="4.8"/>
    <n v="3.5"/>
    <n v="4"/>
    <n v="5"/>
    <n v="21"/>
  </r>
  <r>
    <x v="36"/>
    <x v="1"/>
    <s v="acqua?"/>
    <s v="acqua?"/>
    <s v="acqua? | acqua?"/>
    <n v="0"/>
    <s v="plain water"/>
    <m/>
    <n v="52"/>
    <x v="19"/>
    <n v="2.7"/>
    <n v="0"/>
    <n v="0"/>
    <n v="0"/>
    <n v="4.5999999999999996"/>
    <n v="0.7"/>
    <n v="0"/>
    <n v="278.8"/>
    <n v="11"/>
    <n v="4.5"/>
    <n v="0.17"/>
    <n v="2.8"/>
    <n v="3.86"/>
    <n v="4.8"/>
    <n v="3.5"/>
    <n v="4"/>
    <n v="5"/>
    <n v="21"/>
  </r>
  <r>
    <x v="37"/>
    <x v="1"/>
    <s v="ACQUA"/>
    <s v="ACQUA"/>
    <s v="ACQUA | ACQUA"/>
    <n v="0"/>
    <s v="plain water"/>
    <s v="ok"/>
    <n v="7.5"/>
    <x v="65"/>
    <n v="2.2999999999999998"/>
    <n v="0"/>
    <n v="0"/>
    <n v="0"/>
    <n v="8.8000000000000007"/>
    <n v="2.1"/>
    <n v="1.6"/>
    <n v="258.7"/>
    <n v="8"/>
    <n v="5"/>
    <n v="0.83"/>
    <n v="2.4"/>
    <n v="3.29"/>
    <n v="4.5999999999999996"/>
    <n v="3.5"/>
    <n v="3"/>
    <n v="4.67"/>
    <n v="21"/>
  </r>
  <r>
    <x v="37"/>
    <x v="0"/>
    <s v="ACQUA E LIMONE"/>
    <s v="LIMONE"/>
    <s v="ACQUA E LIMONE | LIMONE"/>
    <n v="1"/>
    <s v="nutrient/caloric or added-ingredient beverage"/>
    <m/>
    <n v="14.1"/>
    <x v="19"/>
    <n v="0"/>
    <n v="7.1"/>
    <n v="14.3"/>
    <n v="0"/>
    <n v="8.4"/>
    <n v="1.1000000000000001"/>
    <n v="0.5"/>
    <n v="128.69999999999999"/>
    <n v="8"/>
    <n v="5"/>
    <n v="0.83"/>
    <n v="2.4"/>
    <n v="3.29"/>
    <n v="4.5999999999999996"/>
    <n v="3.5"/>
    <n v="3"/>
    <n v="4.67"/>
    <n v="21"/>
  </r>
  <r>
    <x v="38"/>
    <x v="0"/>
    <s v="sembrava dell'acqua con un infuso di pera"/>
    <s v="pera, fragola"/>
    <s v="sembrava dell'acqua con un infuso di pera | pera, fragola"/>
    <n v="1"/>
    <s v="nutrient/caloric or added-ingredient beverage"/>
    <s v="ok"/>
    <n v="69.7"/>
    <x v="66"/>
    <n v="52.5"/>
    <n v="0"/>
    <n v="0"/>
    <n v="0"/>
    <n v="19.7"/>
    <n v="19"/>
    <n v="4.5999999999999996"/>
    <n v="200.4"/>
    <n v="10"/>
    <n v="4.75"/>
    <n v="1.67"/>
    <n v="2.6"/>
    <n v="2.57"/>
    <n v="4"/>
    <n v="3"/>
    <n v="2.67"/>
    <n v="4.33"/>
    <n v="12"/>
  </r>
  <r>
    <x v="38"/>
    <x v="1"/>
    <s v="acqua"/>
    <s v="nessuno"/>
    <s v="acqua | nessuno"/>
    <n v="0"/>
    <s v="plain water"/>
    <m/>
    <n v="39.700000000000003"/>
    <x v="67"/>
    <n v="0"/>
    <n v="0"/>
    <n v="0"/>
    <n v="0"/>
    <n v="0"/>
    <n v="0"/>
    <n v="0"/>
    <n v="195.7"/>
    <n v="10"/>
    <n v="4.75"/>
    <n v="1.67"/>
    <n v="2.6"/>
    <n v="2.57"/>
    <n v="4"/>
    <n v="3"/>
    <n v="2.67"/>
    <n v="4.33"/>
    <n v="12"/>
  </r>
  <r>
    <x v="39"/>
    <x v="1"/>
    <s v="acqua con qualcosa"/>
    <s v="acqua"/>
    <s v="acqua con qualcosa | acqua"/>
    <n v="0"/>
    <s v="plain water"/>
    <s v="ok"/>
    <n v="0"/>
    <x v="19"/>
    <n v="16.8"/>
    <n v="0"/>
    <n v="0"/>
    <n v="0"/>
    <n v="10.3"/>
    <n v="5"/>
    <n v="5.5"/>
    <n v="243.3"/>
    <n v="10"/>
    <n v="5"/>
    <n v="2.67"/>
    <n v="2.2000000000000002"/>
    <n v="3.71"/>
    <n v="5.6"/>
    <n v="3.25"/>
    <n v="4.33"/>
    <n v="3.67"/>
    <n v="15"/>
  </r>
  <r>
    <x v="39"/>
    <x v="0"/>
    <s v="bevanda al gusto di anguria (cantalupo)"/>
    <s v="anguria, melone (cantalupo), acqua"/>
    <s v="bevanda al gusto di anguria (cantalupo) | anguria, melone (cantalupo), acqua"/>
    <n v="1"/>
    <s v="nutrient/caloric or added-ingredient beverage"/>
    <m/>
    <n v="89.9"/>
    <x v="68"/>
    <n v="60.5"/>
    <n v="0"/>
    <n v="0"/>
    <n v="0"/>
    <n v="25.3"/>
    <n v="29.1"/>
    <n v="2.9"/>
    <n v="37.5"/>
    <n v="10"/>
    <n v="5"/>
    <n v="2.67"/>
    <n v="2.2000000000000002"/>
    <n v="3.71"/>
    <n v="5.6"/>
    <n v="3.25"/>
    <n v="4.33"/>
    <n v="3.67"/>
    <n v="15"/>
  </r>
  <r>
    <x v="40"/>
    <x v="0"/>
    <s v="Acqua"/>
    <s v="Aroma all'arancia"/>
    <s v="Acqua | Aroma all'arancia"/>
    <n v="1"/>
    <s v="nutrient/caloric or added-ingredient beverage"/>
    <s v="ok"/>
    <n v="56.8"/>
    <x v="69"/>
    <n v="56.8"/>
    <n v="1.5"/>
    <n v="20.399999999999999"/>
    <n v="0.8"/>
    <n v="0"/>
    <n v="0"/>
    <n v="0"/>
    <n v="288.89999999999998"/>
    <n v="9"/>
    <n v="4.5"/>
    <n v="1.17"/>
    <n v="1.8"/>
    <n v="3.86"/>
    <n v="5.4"/>
    <n v="4.25"/>
    <n v="5.33"/>
    <n v="2.67"/>
    <n v="20"/>
  </r>
  <r>
    <x v="40"/>
    <x v="1"/>
    <s v="Acqua"/>
    <s v="Acqua"/>
    <s v="Acqua | Acqua"/>
    <n v="0"/>
    <s v="plain water"/>
    <m/>
    <n v="51.3"/>
    <x v="29"/>
    <n v="31.1"/>
    <n v="0"/>
    <n v="0"/>
    <n v="0"/>
    <n v="0"/>
    <n v="0"/>
    <n v="0"/>
    <n v="233.9"/>
    <n v="9"/>
    <n v="4.5"/>
    <n v="1.17"/>
    <n v="1.8"/>
    <n v="3.86"/>
    <n v="5.4"/>
    <n v="4.25"/>
    <n v="5.33"/>
    <n v="2.67"/>
    <n v="20"/>
  </r>
  <r>
    <x v="41"/>
    <x v="1"/>
    <s v="ACQUA"/>
    <s v="ARANCIA"/>
    <s v="ACQUA | ARANCIA"/>
    <n v="1"/>
    <s v="nutrient/caloric or added-ingredient beverage"/>
    <s v="no"/>
    <n v="74.099999999999994"/>
    <x v="70"/>
    <n v="60.3"/>
    <n v="0"/>
    <n v="0"/>
    <n v="0"/>
    <n v="7.6"/>
    <n v="14.9"/>
    <n v="0"/>
    <n v="158.80000000000001"/>
    <n v="8"/>
    <n v="4.25"/>
    <n v="1.17"/>
    <n v="1.8"/>
    <n v="3.43"/>
    <n v="4"/>
    <n v="3"/>
    <n v="2.67"/>
    <n v="2.67"/>
    <n v="13"/>
  </r>
  <r>
    <x v="41"/>
    <x v="0"/>
    <s v="ACQUA"/>
    <s v="MIRTILLO"/>
    <s v="ACQUA | MIRTILLO"/>
    <n v="1"/>
    <s v="nutrient/caloric or added-ingredient beverage"/>
    <m/>
    <n v="77.5"/>
    <x v="71"/>
    <n v="68.400000000000006"/>
    <n v="0"/>
    <n v="0"/>
    <n v="0"/>
    <n v="34.299999999999997"/>
    <n v="39.299999999999997"/>
    <n v="0"/>
    <n v="205.8"/>
    <n v="8"/>
    <n v="4.25"/>
    <n v="1.17"/>
    <n v="1.8"/>
    <n v="3.43"/>
    <n v="4"/>
    <n v="3"/>
    <n v="2.67"/>
    <n v="2.67"/>
    <n v="13"/>
  </r>
  <r>
    <x v="42"/>
    <x v="0"/>
    <s v="una bevanda energetica, con amminoacidi/zuccheri"/>
    <s v="arancia/limone"/>
    <s v="una bevanda energetica, con amminoacidi/zuccheri | arancia/limone"/>
    <n v="1"/>
    <s v="nutrient/caloric or added-ingredient beverage"/>
    <s v="ok"/>
    <n v="16.3"/>
    <x v="72"/>
    <n v="20.100000000000001"/>
    <n v="0"/>
    <n v="0"/>
    <n v="0.7"/>
    <n v="12.3"/>
    <n v="68.900000000000006"/>
    <n v="0"/>
    <n v="336.1"/>
    <n v="10"/>
    <n v="6"/>
    <n v="3.33"/>
    <n v="3"/>
    <n v="5.29"/>
    <n v="5"/>
    <n v="5.25"/>
    <n v="5"/>
    <n v="6"/>
    <n v="22"/>
  </r>
  <r>
    <x v="42"/>
    <x v="1"/>
    <s v="acqua da una borraccia di plastica"/>
    <s v="acqua"/>
    <s v="acqua da una borraccia di plastica | acqua"/>
    <n v="0"/>
    <s v="plain water"/>
    <m/>
    <n v="4.8"/>
    <x v="73"/>
    <n v="0"/>
    <n v="0"/>
    <n v="0"/>
    <n v="0.3"/>
    <n v="9.5"/>
    <n v="0.5"/>
    <n v="0.3"/>
    <n v="500"/>
    <n v="10"/>
    <n v="6"/>
    <n v="3.33"/>
    <n v="3"/>
    <n v="5.29"/>
    <n v="5"/>
    <n v="5.25"/>
    <n v="5"/>
    <n v="6"/>
    <n v="22"/>
  </r>
  <r>
    <x v="43"/>
    <x v="1"/>
    <s v="Acqua"/>
    <s v="H2O"/>
    <s v="Acqua | H2O"/>
    <n v="0"/>
    <s v="plain water"/>
    <s v="ok"/>
    <n v="72.8"/>
    <x v="74"/>
    <n v="2.7"/>
    <n v="0.5"/>
    <n v="1.1000000000000001"/>
    <n v="1.5"/>
    <n v="1.1000000000000001"/>
    <n v="0.4"/>
    <n v="0.9"/>
    <n v="194.4"/>
    <n v="9"/>
    <n v="3.5"/>
    <n v="1"/>
    <n v="4.2"/>
    <n v="4.57"/>
    <n v="3.4"/>
    <n v="4.25"/>
    <n v="2.33"/>
    <n v="4"/>
    <n v="20"/>
  </r>
  <r>
    <x v="43"/>
    <x v="0"/>
    <s v="Acqua"/>
    <s v="H2O, pochissimi aromi all'arancia"/>
    <s v="Acqua | H2O, pochissimi aromi all'arancia"/>
    <n v="1"/>
    <s v="nutrient/caloric or added-ingredient beverage"/>
    <m/>
    <n v="86.9"/>
    <x v="75"/>
    <n v="29.5"/>
    <n v="0"/>
    <n v="0"/>
    <n v="0"/>
    <n v="3.5"/>
    <n v="1.2"/>
    <n v="0"/>
    <n v="144.80000000000001"/>
    <n v="9"/>
    <n v="3.5"/>
    <n v="1"/>
    <n v="4.2"/>
    <n v="4.57"/>
    <n v="3.4"/>
    <n v="4.25"/>
    <n v="2.33"/>
    <n v="4"/>
    <n v="20"/>
  </r>
  <r>
    <x v="44"/>
    <x v="0"/>
    <s v="The alla pesca/limone annacquato"/>
    <s v="The alla pesca/limone"/>
    <s v="The alla pesca/limone annacquato | The alla pesca/limone"/>
    <n v="1"/>
    <s v="nutrient/caloric or added-ingredient beverage"/>
    <s v="ok"/>
    <n v="30.7"/>
    <x v="76"/>
    <n v="36.6"/>
    <n v="0.3"/>
    <n v="19.399999999999999"/>
    <n v="0"/>
    <n v="46.6"/>
    <n v="65.3"/>
    <n v="0.1"/>
    <n v="177.6"/>
    <n v="5"/>
    <n v="4"/>
    <n v="1.67"/>
    <n v="3.8"/>
    <n v="3.57"/>
    <n v="2"/>
    <n v="4"/>
    <n v="2.33"/>
    <n v="3.33"/>
    <n v="12"/>
  </r>
  <r>
    <x v="44"/>
    <x v="1"/>
    <s v="acqua naturale"/>
    <s v="acqua naturale"/>
    <s v="acqua naturale | acqua naturale"/>
    <n v="0"/>
    <s v="plain water"/>
    <m/>
    <n v="82.4"/>
    <x v="19"/>
    <n v="0"/>
    <n v="0"/>
    <n v="0"/>
    <n v="0"/>
    <n v="0"/>
    <n v="0"/>
    <n v="0"/>
    <n v="180.3"/>
    <n v="5"/>
    <n v="4"/>
    <n v="1.67"/>
    <n v="3.8"/>
    <n v="3.57"/>
    <n v="2"/>
    <n v="4"/>
    <n v="2.33"/>
    <n v="3.33"/>
    <n v="12"/>
  </r>
  <r>
    <x v="45"/>
    <x v="1"/>
    <s v="acqua minerale"/>
    <s v="acqua"/>
    <s v="acqua minerale | acqua"/>
    <n v="0"/>
    <s v="plain water"/>
    <s v="ok"/>
    <n v="46.5"/>
    <x v="77"/>
    <n v="0"/>
    <n v="0"/>
    <n v="0"/>
    <n v="0"/>
    <n v="0"/>
    <n v="0"/>
    <n v="0"/>
    <n v="247.3"/>
    <n v="11"/>
    <n v="4"/>
    <n v="1.67"/>
    <n v="3.4"/>
    <n v="3.57"/>
    <n v="4"/>
    <n v="3.25"/>
    <n v="2.33"/>
    <n v="4.33"/>
    <n v="14"/>
  </r>
  <r>
    <x v="45"/>
    <x v="0"/>
    <s v="infuso"/>
    <s v="infuso di erbe, acqua, zucchero"/>
    <s v="infuso | infuso di erbe, acqua, zucchero"/>
    <n v="1"/>
    <s v="nutrient/caloric or added-ingredient beverage"/>
    <m/>
    <n v="23.9"/>
    <x v="78"/>
    <n v="30.6"/>
    <n v="0"/>
    <n v="0"/>
    <n v="0"/>
    <n v="24.3"/>
    <n v="24.9"/>
    <n v="3.2"/>
    <n v="249.3"/>
    <n v="11"/>
    <n v="4"/>
    <n v="1.67"/>
    <n v="3.4"/>
    <n v="3.57"/>
    <n v="4"/>
    <n v="3.25"/>
    <n v="2.33"/>
    <n v="4.33"/>
    <n v="14"/>
  </r>
  <r>
    <x v="46"/>
    <x v="0"/>
    <s v="the"/>
    <s v="pesca"/>
    <s v="the | pesca"/>
    <n v="1"/>
    <s v="nutrient/caloric or added-ingredient beverage"/>
    <s v="ok"/>
    <n v="58.4"/>
    <x v="79"/>
    <n v="55.5"/>
    <n v="0"/>
    <n v="0"/>
    <n v="0"/>
    <n v="33.1"/>
    <n v="45.6"/>
    <n v="13.8"/>
    <n v="145.4"/>
    <n v="9"/>
    <n v="4.25"/>
    <n v="1.5"/>
    <n v="2"/>
    <n v="4.29"/>
    <n v="4.4000000000000004"/>
    <n v="4.25"/>
    <n v="4.33"/>
    <n v="3.67"/>
    <n v="13"/>
  </r>
  <r>
    <x v="46"/>
    <x v="1"/>
    <s v="acqua"/>
    <s v="acqua"/>
    <s v="acqua | acqua"/>
    <n v="0"/>
    <s v="plain water"/>
    <m/>
    <n v="15.7"/>
    <x v="19"/>
    <n v="0"/>
    <n v="0"/>
    <n v="0"/>
    <n v="0"/>
    <n v="0"/>
    <n v="0"/>
    <n v="0"/>
    <n v="81.099999999999994"/>
    <n v="9"/>
    <n v="4.25"/>
    <n v="1.5"/>
    <n v="2"/>
    <n v="4.29"/>
    <n v="4.4000000000000004"/>
    <n v="4.25"/>
    <n v="4.33"/>
    <n v="3.67"/>
    <n v="13"/>
  </r>
  <r>
    <x v="47"/>
    <x v="2"/>
    <m/>
    <m/>
    <m/>
    <m/>
    <m/>
    <m/>
    <m/>
    <x v="80"/>
    <m/>
    <m/>
    <m/>
    <m/>
    <m/>
    <m/>
    <m/>
    <m/>
    <m/>
    <m/>
    <m/>
    <m/>
    <m/>
    <m/>
    <m/>
    <m/>
    <m/>
    <m/>
  </r>
  <r>
    <x v="47"/>
    <x v="2"/>
    <m/>
    <m/>
    <m/>
    <m/>
    <m/>
    <m/>
    <m/>
    <x v="80"/>
    <m/>
    <m/>
    <m/>
    <m/>
    <m/>
    <m/>
    <m/>
    <m/>
    <m/>
    <m/>
    <m/>
    <m/>
    <m/>
    <m/>
    <m/>
    <m/>
    <m/>
    <m/>
  </r>
  <r>
    <x v="47"/>
    <x v="2"/>
    <m/>
    <m/>
    <m/>
    <m/>
    <m/>
    <m/>
    <m/>
    <x v="80"/>
    <m/>
    <m/>
    <m/>
    <m/>
    <m/>
    <m/>
    <m/>
    <m/>
    <m/>
    <m/>
    <m/>
    <m/>
    <m/>
    <m/>
    <m/>
    <m/>
    <m/>
    <m/>
  </r>
  <r>
    <x v="47"/>
    <x v="2"/>
    <m/>
    <m/>
    <m/>
    <m/>
    <m/>
    <m/>
    <m/>
    <x v="80"/>
    <m/>
    <m/>
    <m/>
    <m/>
    <m/>
    <m/>
    <m/>
    <m/>
    <m/>
    <m/>
    <m/>
    <m/>
    <m/>
    <m/>
    <m/>
    <m/>
    <m/>
    <m/>
  </r>
  <r>
    <x v="47"/>
    <x v="2"/>
    <m/>
    <m/>
    <m/>
    <m/>
    <m/>
    <n v="31"/>
    <m/>
    <x v="80"/>
    <m/>
    <m/>
    <m/>
    <m/>
    <m/>
    <m/>
    <m/>
    <m/>
    <m/>
    <m/>
    <m/>
    <m/>
    <m/>
    <m/>
    <m/>
    <m/>
    <m/>
    <m/>
  </r>
  <r>
    <x v="47"/>
    <x v="2"/>
    <m/>
    <m/>
    <m/>
    <m/>
    <m/>
    <m/>
    <m/>
    <x v="80"/>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7CD2CC-56A0-42DF-B865-E5475F02B32B}" name="Tabella pivot1" cacheId="5" applyNumberFormats="0" applyBorderFormats="0" applyFontFormats="0" applyPatternFormats="0" applyAlignmentFormats="0" applyWidthHeightFormats="1" dataCaption="Valori" updatedVersion="6" minRefreshableVersion="3" useAutoFormatting="1" itemPrintTitles="1" createdVersion="6" indent="0" outline="1" outlineData="1" multipleFieldFilters="0">
  <location ref="A3:D52" firstHeaderRow="1" firstDataRow="2" firstDataCol="1"/>
  <pivotFields count="28">
    <pivotField axis="axisRow"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h="1" x="47"/>
        <item t="default"/>
      </items>
    </pivotField>
    <pivotField axis="axisCol" showAll="0">
      <items count="4">
        <item x="1"/>
        <item x="0"/>
        <item x="2"/>
        <item t="default"/>
      </items>
    </pivotField>
    <pivotField showAll="0"/>
    <pivotField showAll="0"/>
    <pivotField showAll="0"/>
    <pivotField showAll="0"/>
    <pivotField showAll="0"/>
    <pivotField showAll="0"/>
    <pivotField showAll="0"/>
    <pivotField showAll="0">
      <items count="82">
        <item x="19"/>
        <item x="35"/>
        <item x="7"/>
        <item x="16"/>
        <item x="65"/>
        <item x="61"/>
        <item x="10"/>
        <item x="42"/>
        <item x="77"/>
        <item x="50"/>
        <item x="56"/>
        <item x="59"/>
        <item x="13"/>
        <item x="73"/>
        <item x="52"/>
        <item x="67"/>
        <item x="23"/>
        <item x="6"/>
        <item x="41"/>
        <item x="17"/>
        <item x="24"/>
        <item x="74"/>
        <item x="72"/>
        <item x="31"/>
        <item x="58"/>
        <item x="27"/>
        <item x="34"/>
        <item x="55"/>
        <item x="60"/>
        <item x="79"/>
        <item x="69"/>
        <item x="76"/>
        <item x="5"/>
        <item x="62"/>
        <item x="18"/>
        <item x="1"/>
        <item x="53"/>
        <item x="0"/>
        <item x="48"/>
        <item x="36"/>
        <item x="4"/>
        <item x="43"/>
        <item x="49"/>
        <item x="51"/>
        <item x="30"/>
        <item x="3"/>
        <item x="78"/>
        <item x="14"/>
        <item x="9"/>
        <item x="37"/>
        <item x="20"/>
        <item x="28"/>
        <item x="8"/>
        <item x="32"/>
        <item x="54"/>
        <item x="15"/>
        <item x="66"/>
        <item x="12"/>
        <item x="29"/>
        <item x="63"/>
        <item x="26"/>
        <item x="39"/>
        <item x="21"/>
        <item x="46"/>
        <item x="57"/>
        <item x="75"/>
        <item x="38"/>
        <item x="45"/>
        <item x="70"/>
        <item x="25"/>
        <item x="2"/>
        <item x="22"/>
        <item x="47"/>
        <item x="33"/>
        <item x="44"/>
        <item x="40"/>
        <item x="71"/>
        <item x="64"/>
        <item x="68"/>
        <item x="11"/>
        <item x="8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1"/>
  </colFields>
  <colItems count="3">
    <i>
      <x/>
    </i>
    <i>
      <x v="1"/>
    </i>
    <i t="grand">
      <x/>
    </i>
  </colItems>
  <dataFields count="1">
    <dataField name="Media di Ingested Ml " fld="17" subtotal="average" baseField="0" baseItem="3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
  <sheetViews>
    <sheetView tabSelected="1" workbookViewId="0">
      <pane xSplit="1" topLeftCell="C1" activePane="topRight" state="frozen"/>
      <selection pane="topRight" activeCell="AB1" sqref="A1:AB1048576"/>
    </sheetView>
  </sheetViews>
  <sheetFormatPr defaultRowHeight="13.8"/>
  <cols>
    <col min="1" max="1" width="5" customWidth="1"/>
    <col min="2" max="2" width="18" customWidth="1"/>
    <col min="3" max="5" width="34" customWidth="1"/>
    <col min="6" max="6" width="9.5" customWidth="1"/>
    <col min="7" max="7" width="37.296875" bestFit="1" customWidth="1"/>
    <col min="8" max="8" width="8.69921875" bestFit="1" customWidth="1"/>
    <col min="19" max="19" width="22.3984375" bestFit="1" customWidth="1"/>
  </cols>
  <sheetData>
    <row r="1" spans="1:28" ht="27.6">
      <c r="A1" s="2" t="s">
        <v>0</v>
      </c>
      <c r="B1" s="2" t="s">
        <v>1</v>
      </c>
      <c r="C1" s="2" t="s">
        <v>2</v>
      </c>
      <c r="D1" s="2" t="s">
        <v>3</v>
      </c>
      <c r="E1" s="2" t="s">
        <v>4</v>
      </c>
      <c r="F1" s="2" t="s">
        <v>5</v>
      </c>
      <c r="G1" s="2" t="s">
        <v>6</v>
      </c>
      <c r="H1" s="3" t="s">
        <v>232</v>
      </c>
      <c r="I1" s="7" t="s">
        <v>234</v>
      </c>
      <c r="J1" s="7" t="s">
        <v>235</v>
      </c>
      <c r="K1" s="7" t="s">
        <v>236</v>
      </c>
      <c r="L1" s="7" t="s">
        <v>237</v>
      </c>
      <c r="M1" s="7" t="s">
        <v>239</v>
      </c>
      <c r="N1" s="7" t="s">
        <v>238</v>
      </c>
      <c r="O1" s="7" t="s">
        <v>233</v>
      </c>
      <c r="P1" s="7" t="s">
        <v>240</v>
      </c>
      <c r="Q1" s="7" t="s">
        <v>241</v>
      </c>
      <c r="R1" s="7" t="s">
        <v>242</v>
      </c>
      <c r="S1" t="s">
        <v>243</v>
      </c>
      <c r="T1" s="11" t="s">
        <v>244</v>
      </c>
      <c r="U1" s="11" t="s">
        <v>245</v>
      </c>
      <c r="V1" s="11" t="s">
        <v>246</v>
      </c>
      <c r="W1" s="11" t="s">
        <v>247</v>
      </c>
      <c r="X1" s="11" t="s">
        <v>248</v>
      </c>
      <c r="Y1" s="11" t="s">
        <v>249</v>
      </c>
      <c r="Z1" s="11" t="s">
        <v>250</v>
      </c>
      <c r="AA1" s="11" t="s">
        <v>251</v>
      </c>
      <c r="AB1" s="11" t="s">
        <v>252</v>
      </c>
    </row>
    <row r="2" spans="1:28">
      <c r="A2" s="6">
        <v>1</v>
      </c>
      <c r="B2" t="s">
        <v>7</v>
      </c>
      <c r="C2" t="s">
        <v>8</v>
      </c>
      <c r="D2" t="s">
        <v>9</v>
      </c>
      <c r="E2" t="s">
        <v>10</v>
      </c>
      <c r="F2">
        <v>1</v>
      </c>
      <c r="G2" t="s">
        <v>11</v>
      </c>
      <c r="H2" t="s">
        <v>230</v>
      </c>
      <c r="I2" s="8">
        <v>14.4</v>
      </c>
      <c r="J2" s="8">
        <v>18.8</v>
      </c>
      <c r="K2" s="8">
        <v>35.4</v>
      </c>
      <c r="L2" s="8">
        <v>0</v>
      </c>
      <c r="M2" s="8">
        <v>0</v>
      </c>
      <c r="N2" s="8">
        <v>9.1</v>
      </c>
      <c r="O2" s="8">
        <v>18.2</v>
      </c>
      <c r="P2" s="8">
        <v>46.2</v>
      </c>
      <c r="Q2" s="8">
        <v>21.2</v>
      </c>
      <c r="R2" s="8">
        <v>181</v>
      </c>
      <c r="S2">
        <v>10</v>
      </c>
      <c r="T2" s="12">
        <v>3.25</v>
      </c>
      <c r="U2" s="13">
        <v>0.83</v>
      </c>
      <c r="V2" s="13">
        <v>3.2</v>
      </c>
      <c r="W2" s="13">
        <v>4.8600000000000003</v>
      </c>
      <c r="X2" s="13">
        <v>4.2</v>
      </c>
      <c r="Y2" s="13">
        <v>5.25</v>
      </c>
      <c r="Z2" s="13">
        <v>4.33</v>
      </c>
      <c r="AA2" s="13">
        <v>5</v>
      </c>
      <c r="AB2" s="14">
        <v>22</v>
      </c>
    </row>
    <row r="3" spans="1:28">
      <c r="A3" s="6">
        <v>1</v>
      </c>
      <c r="B3" t="s">
        <v>12</v>
      </c>
      <c r="C3" t="s">
        <v>13</v>
      </c>
      <c r="D3" t="s">
        <v>14</v>
      </c>
      <c r="E3" t="s">
        <v>15</v>
      </c>
      <c r="F3">
        <v>1</v>
      </c>
      <c r="G3" t="s">
        <v>11</v>
      </c>
      <c r="I3" s="8">
        <v>5.4</v>
      </c>
      <c r="J3" s="8">
        <v>17.8</v>
      </c>
      <c r="K3" s="8">
        <v>6.8</v>
      </c>
      <c r="L3" s="8">
        <v>7.4</v>
      </c>
      <c r="M3" s="8">
        <v>0</v>
      </c>
      <c r="N3" s="8">
        <v>0</v>
      </c>
      <c r="O3" s="8">
        <v>17</v>
      </c>
      <c r="P3" s="8">
        <v>33.799999999999997</v>
      </c>
      <c r="Q3" s="8">
        <v>24.8</v>
      </c>
      <c r="R3" s="8">
        <v>175.6</v>
      </c>
      <c r="S3">
        <v>10</v>
      </c>
      <c r="T3" s="15">
        <v>3.25</v>
      </c>
      <c r="U3" s="16">
        <v>0.83</v>
      </c>
      <c r="V3" s="16">
        <v>3.2</v>
      </c>
      <c r="W3" s="16">
        <v>4.8600000000000003</v>
      </c>
      <c r="X3" s="16">
        <v>4.2</v>
      </c>
      <c r="Y3" s="16">
        <v>5.25</v>
      </c>
      <c r="Z3" s="16">
        <v>4.33</v>
      </c>
      <c r="AA3" s="16">
        <v>5</v>
      </c>
      <c r="AB3" s="17">
        <v>22</v>
      </c>
    </row>
    <row r="4" spans="1:28">
      <c r="A4">
        <v>2</v>
      </c>
      <c r="B4" t="s">
        <v>12</v>
      </c>
      <c r="C4" t="s">
        <v>16</v>
      </c>
      <c r="D4" t="s">
        <v>17</v>
      </c>
      <c r="E4" t="s">
        <v>18</v>
      </c>
      <c r="F4">
        <v>0</v>
      </c>
      <c r="G4" t="s">
        <v>19</v>
      </c>
      <c r="H4" t="s">
        <v>231</v>
      </c>
      <c r="I4">
        <v>41.6</v>
      </c>
      <c r="J4">
        <v>56.6</v>
      </c>
      <c r="K4">
        <v>55.7</v>
      </c>
      <c r="L4">
        <v>0</v>
      </c>
      <c r="M4">
        <v>0</v>
      </c>
      <c r="N4">
        <v>0</v>
      </c>
      <c r="O4">
        <v>0</v>
      </c>
      <c r="P4">
        <v>0</v>
      </c>
      <c r="Q4">
        <v>0</v>
      </c>
      <c r="R4">
        <v>212.8</v>
      </c>
      <c r="S4">
        <v>10</v>
      </c>
      <c r="T4" s="12">
        <v>3.25</v>
      </c>
      <c r="U4" s="13">
        <v>0.5</v>
      </c>
      <c r="V4" s="13">
        <v>3.2</v>
      </c>
      <c r="W4" s="13">
        <v>3.71</v>
      </c>
      <c r="X4" s="13">
        <v>2.8</v>
      </c>
      <c r="Y4" s="13">
        <v>3.25</v>
      </c>
      <c r="Z4" s="13">
        <v>3.33</v>
      </c>
      <c r="AA4" s="13">
        <v>3.33</v>
      </c>
      <c r="AB4" s="14">
        <v>12</v>
      </c>
    </row>
    <row r="5" spans="1:28">
      <c r="A5">
        <v>2</v>
      </c>
      <c r="B5" t="s">
        <v>7</v>
      </c>
      <c r="C5" t="s">
        <v>20</v>
      </c>
      <c r="D5" t="s">
        <v>21</v>
      </c>
      <c r="E5" t="s">
        <v>22</v>
      </c>
      <c r="F5">
        <v>1</v>
      </c>
      <c r="G5" t="s">
        <v>11</v>
      </c>
      <c r="I5">
        <v>59.4</v>
      </c>
      <c r="J5">
        <v>23.1</v>
      </c>
      <c r="K5">
        <v>58.2</v>
      </c>
      <c r="L5">
        <v>0</v>
      </c>
      <c r="M5">
        <v>0</v>
      </c>
      <c r="N5">
        <v>0</v>
      </c>
      <c r="O5">
        <v>13.5</v>
      </c>
      <c r="P5">
        <v>11.3</v>
      </c>
      <c r="Q5">
        <v>0</v>
      </c>
      <c r="R5">
        <v>138.69999999999999</v>
      </c>
      <c r="S5">
        <v>10</v>
      </c>
      <c r="T5" s="15">
        <v>3.25</v>
      </c>
      <c r="U5" s="16">
        <v>0.5</v>
      </c>
      <c r="V5" s="16">
        <v>3.2</v>
      </c>
      <c r="W5" s="16">
        <v>3.71</v>
      </c>
      <c r="X5" s="16">
        <v>2.8</v>
      </c>
      <c r="Y5" s="16">
        <v>3.25</v>
      </c>
      <c r="Z5" s="16">
        <v>3.33</v>
      </c>
      <c r="AA5" s="16">
        <v>3.33</v>
      </c>
      <c r="AB5" s="17">
        <v>12</v>
      </c>
    </row>
    <row r="6" spans="1:28">
      <c r="A6" s="6">
        <v>3</v>
      </c>
      <c r="B6" t="s">
        <v>7</v>
      </c>
      <c r="C6" t="s">
        <v>23</v>
      </c>
      <c r="D6" t="s">
        <v>24</v>
      </c>
      <c r="E6" t="s">
        <v>25</v>
      </c>
      <c r="F6">
        <v>1</v>
      </c>
      <c r="G6" t="s">
        <v>11</v>
      </c>
      <c r="H6" t="s">
        <v>231</v>
      </c>
      <c r="I6" s="8">
        <v>20.2</v>
      </c>
      <c r="J6" s="8">
        <v>20.2</v>
      </c>
      <c r="K6" s="8">
        <v>20.2</v>
      </c>
      <c r="L6" s="8">
        <v>0.9</v>
      </c>
      <c r="M6" s="8">
        <v>1.1000000000000001</v>
      </c>
      <c r="N6" s="8">
        <v>0.9</v>
      </c>
      <c r="O6" s="8">
        <v>33.6</v>
      </c>
      <c r="P6" s="8">
        <v>36.5</v>
      </c>
      <c r="Q6" s="8">
        <v>5.2</v>
      </c>
      <c r="R6" s="8">
        <v>294.2</v>
      </c>
      <c r="S6">
        <v>11</v>
      </c>
      <c r="T6" s="12">
        <v>4.5</v>
      </c>
      <c r="U6" s="13">
        <v>1.17</v>
      </c>
      <c r="V6" s="13">
        <v>2</v>
      </c>
      <c r="W6" s="13">
        <v>3.29</v>
      </c>
      <c r="X6" s="13">
        <v>5.4</v>
      </c>
      <c r="Y6" s="13">
        <v>4.25</v>
      </c>
      <c r="Z6" s="13">
        <v>5.33</v>
      </c>
      <c r="AA6" s="13">
        <v>5</v>
      </c>
      <c r="AB6" s="14">
        <v>29</v>
      </c>
    </row>
    <row r="7" spans="1:28">
      <c r="A7" s="6">
        <v>3</v>
      </c>
      <c r="B7" t="s">
        <v>12</v>
      </c>
      <c r="C7" t="s">
        <v>16</v>
      </c>
      <c r="D7" t="s">
        <v>16</v>
      </c>
      <c r="E7" t="s">
        <v>26</v>
      </c>
      <c r="F7">
        <v>0</v>
      </c>
      <c r="G7" t="s">
        <v>19</v>
      </c>
      <c r="I7" s="8">
        <v>52.1</v>
      </c>
      <c r="J7" s="8">
        <v>16.8</v>
      </c>
      <c r="K7" s="8">
        <v>0</v>
      </c>
      <c r="L7" s="8">
        <v>0</v>
      </c>
      <c r="M7" s="8">
        <v>0</v>
      </c>
      <c r="N7" s="8">
        <v>0</v>
      </c>
      <c r="O7" s="8">
        <v>0</v>
      </c>
      <c r="P7" s="8">
        <v>0</v>
      </c>
      <c r="Q7" s="8">
        <v>0</v>
      </c>
      <c r="R7" s="8">
        <v>278.8</v>
      </c>
      <c r="S7">
        <v>11</v>
      </c>
      <c r="T7" s="15">
        <v>4.5</v>
      </c>
      <c r="U7" s="16">
        <v>1.17</v>
      </c>
      <c r="V7" s="16">
        <v>2</v>
      </c>
      <c r="W7" s="16">
        <v>3.29</v>
      </c>
      <c r="X7" s="16">
        <v>5.4</v>
      </c>
      <c r="Y7" s="16">
        <v>4.25</v>
      </c>
      <c r="Z7" s="16">
        <v>5.33</v>
      </c>
      <c r="AA7" s="16">
        <v>5</v>
      </c>
      <c r="AB7" s="17">
        <v>29</v>
      </c>
    </row>
    <row r="8" spans="1:28">
      <c r="A8">
        <v>4</v>
      </c>
      <c r="B8" t="s">
        <v>12</v>
      </c>
      <c r="C8" t="s">
        <v>27</v>
      </c>
      <c r="D8" t="s">
        <v>28</v>
      </c>
      <c r="E8" t="s">
        <v>29</v>
      </c>
      <c r="F8">
        <v>1</v>
      </c>
      <c r="G8" t="s">
        <v>11</v>
      </c>
      <c r="H8" t="s">
        <v>231</v>
      </c>
      <c r="I8">
        <v>7.5</v>
      </c>
      <c r="J8">
        <v>6</v>
      </c>
      <c r="K8">
        <v>16</v>
      </c>
      <c r="L8">
        <v>3.8</v>
      </c>
      <c r="M8">
        <v>1.5</v>
      </c>
      <c r="N8">
        <v>1.1000000000000001</v>
      </c>
      <c r="O8">
        <v>7.5</v>
      </c>
      <c r="P8">
        <v>7</v>
      </c>
      <c r="Q8">
        <v>5.4</v>
      </c>
      <c r="R8">
        <v>51.6</v>
      </c>
      <c r="S8">
        <v>10</v>
      </c>
      <c r="T8" s="12">
        <v>6</v>
      </c>
      <c r="U8" s="13">
        <v>1.5</v>
      </c>
      <c r="V8" s="13">
        <v>3</v>
      </c>
      <c r="W8" s="13">
        <v>4.71</v>
      </c>
      <c r="X8" s="13">
        <v>5</v>
      </c>
      <c r="Y8" s="13">
        <v>3.25</v>
      </c>
      <c r="Z8" s="13">
        <v>5</v>
      </c>
      <c r="AA8" s="13">
        <v>6</v>
      </c>
      <c r="AB8" s="14">
        <v>25</v>
      </c>
    </row>
    <row r="9" spans="1:28">
      <c r="A9">
        <v>4</v>
      </c>
      <c r="B9" t="s">
        <v>7</v>
      </c>
      <c r="C9" t="s">
        <v>16</v>
      </c>
      <c r="D9" t="s">
        <v>30</v>
      </c>
      <c r="E9" t="s">
        <v>31</v>
      </c>
      <c r="F9">
        <v>0</v>
      </c>
      <c r="G9" t="s">
        <v>19</v>
      </c>
      <c r="I9">
        <v>42.8</v>
      </c>
      <c r="J9">
        <v>1.2</v>
      </c>
      <c r="K9">
        <v>0.7</v>
      </c>
      <c r="L9">
        <v>1.1000000000000001</v>
      </c>
      <c r="M9">
        <v>0.5</v>
      </c>
      <c r="N9">
        <v>2.2999999999999998</v>
      </c>
      <c r="O9">
        <v>1.5</v>
      </c>
      <c r="P9">
        <v>1.6</v>
      </c>
      <c r="Q9">
        <v>1.2</v>
      </c>
      <c r="R9">
        <v>112.6</v>
      </c>
      <c r="S9">
        <v>10</v>
      </c>
      <c r="T9" s="15">
        <v>6</v>
      </c>
      <c r="U9" s="16">
        <v>1.5</v>
      </c>
      <c r="V9" s="16">
        <v>3</v>
      </c>
      <c r="W9" s="16">
        <v>4.71</v>
      </c>
      <c r="X9" s="16">
        <v>5</v>
      </c>
      <c r="Y9" s="16">
        <v>3.25</v>
      </c>
      <c r="Z9" s="16">
        <v>5</v>
      </c>
      <c r="AA9" s="16">
        <v>6</v>
      </c>
      <c r="AB9" s="17">
        <v>25</v>
      </c>
    </row>
    <row r="10" spans="1:28">
      <c r="A10" s="6">
        <v>5</v>
      </c>
      <c r="B10" t="s">
        <v>7</v>
      </c>
      <c r="C10" t="s">
        <v>32</v>
      </c>
      <c r="D10" t="s">
        <v>16</v>
      </c>
      <c r="E10" t="s">
        <v>33</v>
      </c>
      <c r="F10">
        <v>1</v>
      </c>
      <c r="G10" t="s">
        <v>11</v>
      </c>
      <c r="H10" t="s">
        <v>230</v>
      </c>
      <c r="I10" s="8">
        <v>56.7</v>
      </c>
      <c r="J10" s="8">
        <v>27.9</v>
      </c>
      <c r="K10" s="8">
        <v>46.9</v>
      </c>
      <c r="L10" s="8">
        <v>0</v>
      </c>
      <c r="M10" s="8">
        <v>0</v>
      </c>
      <c r="N10" s="8">
        <v>0</v>
      </c>
      <c r="O10" s="8">
        <v>0</v>
      </c>
      <c r="P10" s="8">
        <v>59.2</v>
      </c>
      <c r="Q10" s="8">
        <v>0</v>
      </c>
      <c r="R10" s="8">
        <v>443</v>
      </c>
      <c r="S10">
        <v>9</v>
      </c>
      <c r="T10" s="12">
        <v>3.75</v>
      </c>
      <c r="U10" s="13">
        <v>2.5</v>
      </c>
      <c r="V10" s="13">
        <v>2.2000000000000002</v>
      </c>
      <c r="W10" s="13">
        <v>3.43</v>
      </c>
      <c r="X10" s="13">
        <v>2.8</v>
      </c>
      <c r="Y10" s="13">
        <v>3.5</v>
      </c>
      <c r="Z10" s="13">
        <v>3.33</v>
      </c>
      <c r="AA10" s="13">
        <v>5.67</v>
      </c>
      <c r="AB10" s="14">
        <v>16</v>
      </c>
    </row>
    <row r="11" spans="1:28">
      <c r="A11" s="6">
        <v>5</v>
      </c>
      <c r="B11" t="s">
        <v>12</v>
      </c>
      <c r="C11" t="s">
        <v>34</v>
      </c>
      <c r="D11" t="s">
        <v>16</v>
      </c>
      <c r="E11" t="s">
        <v>35</v>
      </c>
      <c r="F11">
        <v>1</v>
      </c>
      <c r="G11" t="s">
        <v>11</v>
      </c>
      <c r="I11" s="8">
        <v>49.7</v>
      </c>
      <c r="J11" s="8">
        <v>25.2</v>
      </c>
      <c r="K11" s="8">
        <v>61.1</v>
      </c>
      <c r="L11" s="8">
        <v>0</v>
      </c>
      <c r="M11" s="8">
        <v>0</v>
      </c>
      <c r="N11" s="8">
        <v>0</v>
      </c>
      <c r="O11" s="8">
        <v>5.2</v>
      </c>
      <c r="P11" s="8">
        <v>50.8</v>
      </c>
      <c r="Q11" s="8">
        <v>0</v>
      </c>
      <c r="R11" s="8">
        <v>353.2</v>
      </c>
      <c r="S11">
        <v>9</v>
      </c>
      <c r="T11" s="15">
        <v>3.75</v>
      </c>
      <c r="U11" s="16">
        <v>2.5</v>
      </c>
      <c r="V11" s="16">
        <v>2.2000000000000002</v>
      </c>
      <c r="W11" s="16">
        <v>3.43</v>
      </c>
      <c r="X11" s="16">
        <v>2.8</v>
      </c>
      <c r="Y11" s="16">
        <v>3.5</v>
      </c>
      <c r="Z11" s="16">
        <v>3.33</v>
      </c>
      <c r="AA11" s="16">
        <v>5.67</v>
      </c>
      <c r="AB11" s="17">
        <v>16</v>
      </c>
    </row>
    <row r="12" spans="1:28">
      <c r="A12">
        <v>6</v>
      </c>
      <c r="B12" t="s">
        <v>12</v>
      </c>
      <c r="C12" t="s">
        <v>36</v>
      </c>
      <c r="D12" t="s">
        <v>37</v>
      </c>
      <c r="E12" t="s">
        <v>38</v>
      </c>
      <c r="F12">
        <v>1</v>
      </c>
      <c r="G12" t="s">
        <v>11</v>
      </c>
      <c r="H12" t="s">
        <v>230</v>
      </c>
      <c r="I12">
        <v>16.600000000000001</v>
      </c>
      <c r="J12">
        <v>2.8</v>
      </c>
      <c r="K12">
        <v>36.299999999999997</v>
      </c>
      <c r="L12">
        <v>0</v>
      </c>
      <c r="M12">
        <v>0</v>
      </c>
      <c r="N12">
        <v>0</v>
      </c>
      <c r="O12">
        <v>13.8</v>
      </c>
      <c r="P12">
        <v>27.3</v>
      </c>
      <c r="Q12">
        <v>16.100000000000001</v>
      </c>
      <c r="R12">
        <v>463.1</v>
      </c>
      <c r="S12">
        <v>11</v>
      </c>
      <c r="T12" s="12">
        <v>4.75</v>
      </c>
      <c r="U12" s="13">
        <v>1.67</v>
      </c>
      <c r="V12" s="13">
        <v>2.4</v>
      </c>
      <c r="W12" s="13">
        <v>2.57</v>
      </c>
      <c r="X12" s="13">
        <v>4.5999999999999996</v>
      </c>
      <c r="Y12" s="13">
        <v>2.75</v>
      </c>
      <c r="Z12" s="13">
        <v>2.67</v>
      </c>
      <c r="AA12" s="13">
        <v>3</v>
      </c>
      <c r="AB12" s="14">
        <v>17</v>
      </c>
    </row>
    <row r="13" spans="1:28">
      <c r="A13">
        <v>6</v>
      </c>
      <c r="B13" t="s">
        <v>7</v>
      </c>
      <c r="C13" t="s">
        <v>39</v>
      </c>
      <c r="D13" t="s">
        <v>40</v>
      </c>
      <c r="E13" t="s">
        <v>41</v>
      </c>
      <c r="F13">
        <v>1</v>
      </c>
      <c r="G13" t="s">
        <v>11</v>
      </c>
      <c r="I13">
        <v>10.3</v>
      </c>
      <c r="J13">
        <v>100</v>
      </c>
      <c r="K13">
        <v>59.7</v>
      </c>
      <c r="L13">
        <v>0</v>
      </c>
      <c r="M13">
        <v>0</v>
      </c>
      <c r="N13">
        <v>0</v>
      </c>
      <c r="O13">
        <v>56.3</v>
      </c>
      <c r="P13">
        <v>57.6</v>
      </c>
      <c r="Q13">
        <v>21.8</v>
      </c>
      <c r="R13">
        <v>500</v>
      </c>
      <c r="S13">
        <v>11</v>
      </c>
      <c r="T13" s="15">
        <v>4.75</v>
      </c>
      <c r="U13" s="16">
        <v>1.67</v>
      </c>
      <c r="V13" s="16">
        <v>2.4</v>
      </c>
      <c r="W13" s="16">
        <v>2.57</v>
      </c>
      <c r="X13" s="16">
        <v>4.5999999999999996</v>
      </c>
      <c r="Y13" s="16">
        <v>2.75</v>
      </c>
      <c r="Z13" s="16">
        <v>2.67</v>
      </c>
      <c r="AA13" s="16">
        <v>3</v>
      </c>
      <c r="AB13" s="17">
        <v>17</v>
      </c>
    </row>
    <row r="14" spans="1:28">
      <c r="A14" s="6">
        <v>7</v>
      </c>
      <c r="B14" t="s">
        <v>7</v>
      </c>
      <c r="C14" t="s">
        <v>42</v>
      </c>
      <c r="D14" t="s">
        <v>43</v>
      </c>
      <c r="E14" t="s">
        <v>44</v>
      </c>
      <c r="F14">
        <v>1</v>
      </c>
      <c r="G14" t="s">
        <v>11</v>
      </c>
      <c r="H14" t="s">
        <v>230</v>
      </c>
      <c r="I14" s="8">
        <v>43</v>
      </c>
      <c r="J14" s="8">
        <v>35.299999999999997</v>
      </c>
      <c r="K14" s="8">
        <v>44.6</v>
      </c>
      <c r="L14" s="8">
        <v>2.5</v>
      </c>
      <c r="M14" s="8">
        <v>2.1</v>
      </c>
      <c r="N14" s="8">
        <v>2.8</v>
      </c>
      <c r="O14" s="8">
        <v>28.8</v>
      </c>
      <c r="P14" s="8">
        <v>40.1</v>
      </c>
      <c r="Q14" s="8">
        <v>5.2</v>
      </c>
      <c r="R14" s="8">
        <v>160.9</v>
      </c>
      <c r="S14">
        <v>7</v>
      </c>
      <c r="T14" s="12">
        <v>4.25</v>
      </c>
      <c r="U14" s="13">
        <v>2</v>
      </c>
      <c r="V14" s="13">
        <v>2.6</v>
      </c>
      <c r="W14" s="13">
        <v>3.71</v>
      </c>
      <c r="X14" s="13">
        <v>4.4000000000000004</v>
      </c>
      <c r="Y14" s="13">
        <v>3.25</v>
      </c>
      <c r="Z14" s="13">
        <v>4.67</v>
      </c>
      <c r="AA14" s="13">
        <v>3.67</v>
      </c>
      <c r="AB14" s="14">
        <v>20</v>
      </c>
    </row>
    <row r="15" spans="1:28">
      <c r="A15" s="6">
        <v>7</v>
      </c>
      <c r="B15" t="s">
        <v>12</v>
      </c>
      <c r="C15" t="s">
        <v>45</v>
      </c>
      <c r="D15" t="s">
        <v>46</v>
      </c>
      <c r="E15" t="s">
        <v>47</v>
      </c>
      <c r="F15">
        <v>1</v>
      </c>
      <c r="G15" t="s">
        <v>11</v>
      </c>
      <c r="I15" s="8">
        <v>31.4</v>
      </c>
      <c r="J15" s="8">
        <v>4.2</v>
      </c>
      <c r="K15" s="8">
        <v>21.8</v>
      </c>
      <c r="L15" s="8">
        <v>2.1</v>
      </c>
      <c r="M15" s="8">
        <v>2.2999999999999998</v>
      </c>
      <c r="N15" s="8">
        <v>2.5</v>
      </c>
      <c r="O15" s="8">
        <v>14.2</v>
      </c>
      <c r="P15" s="8">
        <v>18.899999999999999</v>
      </c>
      <c r="Q15" s="8">
        <v>2.4</v>
      </c>
      <c r="R15" s="8">
        <v>158.80000000000001</v>
      </c>
      <c r="S15">
        <v>7</v>
      </c>
      <c r="T15" s="15">
        <v>4.25</v>
      </c>
      <c r="U15" s="16">
        <v>2</v>
      </c>
      <c r="V15" s="16">
        <v>2.6</v>
      </c>
      <c r="W15" s="16">
        <v>3.71</v>
      </c>
      <c r="X15" s="16">
        <v>4.4000000000000004</v>
      </c>
      <c r="Y15" s="16">
        <v>3.25</v>
      </c>
      <c r="Z15" s="16">
        <v>4.67</v>
      </c>
      <c r="AA15" s="16">
        <v>3.67</v>
      </c>
      <c r="AB15" s="17">
        <v>20</v>
      </c>
    </row>
    <row r="16" spans="1:28">
      <c r="A16">
        <v>8</v>
      </c>
      <c r="B16" t="s">
        <v>12</v>
      </c>
      <c r="C16" t="s">
        <v>48</v>
      </c>
      <c r="D16" t="s">
        <v>16</v>
      </c>
      <c r="E16" t="s">
        <v>49</v>
      </c>
      <c r="F16">
        <v>0</v>
      </c>
      <c r="G16" t="s">
        <v>19</v>
      </c>
      <c r="H16" t="s">
        <v>231</v>
      </c>
      <c r="I16">
        <v>23.3</v>
      </c>
      <c r="J16">
        <v>24.7</v>
      </c>
      <c r="K16">
        <v>0</v>
      </c>
      <c r="L16">
        <v>3.4</v>
      </c>
      <c r="M16">
        <v>0</v>
      </c>
      <c r="N16">
        <v>25.5</v>
      </c>
      <c r="O16">
        <v>0</v>
      </c>
      <c r="P16">
        <v>0</v>
      </c>
      <c r="Q16">
        <v>0</v>
      </c>
      <c r="R16">
        <v>205.8</v>
      </c>
      <c r="S16">
        <v>9</v>
      </c>
      <c r="T16" s="12">
        <v>3.75</v>
      </c>
      <c r="U16" s="13">
        <v>0.67</v>
      </c>
      <c r="V16" s="13">
        <v>2.6</v>
      </c>
      <c r="W16" s="13">
        <v>3.57</v>
      </c>
      <c r="X16" s="13">
        <v>3.4</v>
      </c>
      <c r="Y16" s="13">
        <v>3.25</v>
      </c>
      <c r="Z16" s="13">
        <v>3.33</v>
      </c>
      <c r="AA16" s="13">
        <v>3.67</v>
      </c>
      <c r="AB16" s="14">
        <v>25</v>
      </c>
    </row>
    <row r="17" spans="1:28">
      <c r="A17">
        <v>8</v>
      </c>
      <c r="B17" t="s">
        <v>7</v>
      </c>
      <c r="C17" t="s">
        <v>50</v>
      </c>
      <c r="D17" t="s">
        <v>51</v>
      </c>
      <c r="E17" t="s">
        <v>52</v>
      </c>
      <c r="F17">
        <v>1</v>
      </c>
      <c r="G17" t="s">
        <v>11</v>
      </c>
      <c r="I17">
        <v>45</v>
      </c>
      <c r="J17">
        <v>30.2</v>
      </c>
      <c r="K17">
        <v>43.4</v>
      </c>
      <c r="L17">
        <v>0</v>
      </c>
      <c r="M17">
        <v>0</v>
      </c>
      <c r="N17">
        <v>7.8</v>
      </c>
      <c r="O17">
        <v>16.899999999999999</v>
      </c>
      <c r="P17">
        <v>16.600000000000001</v>
      </c>
      <c r="Q17">
        <v>12.8</v>
      </c>
      <c r="R17">
        <v>128.5</v>
      </c>
      <c r="S17">
        <v>9</v>
      </c>
      <c r="T17" s="15">
        <v>3.75</v>
      </c>
      <c r="U17" s="16">
        <v>0.67</v>
      </c>
      <c r="V17" s="16">
        <v>2.6</v>
      </c>
      <c r="W17" s="16">
        <v>3.57</v>
      </c>
      <c r="X17" s="16">
        <v>3.4</v>
      </c>
      <c r="Y17" s="16">
        <v>3.25</v>
      </c>
      <c r="Z17" s="16">
        <v>3.33</v>
      </c>
      <c r="AA17" s="16">
        <v>3.67</v>
      </c>
      <c r="AB17" s="17">
        <v>25</v>
      </c>
    </row>
    <row r="18" spans="1:28">
      <c r="A18" s="6">
        <v>9</v>
      </c>
      <c r="B18" t="s">
        <v>12</v>
      </c>
      <c r="C18" t="s">
        <v>53</v>
      </c>
      <c r="D18" t="s">
        <v>53</v>
      </c>
      <c r="E18" t="s">
        <v>54</v>
      </c>
      <c r="F18">
        <v>0</v>
      </c>
      <c r="G18" t="s">
        <v>19</v>
      </c>
      <c r="H18" t="s">
        <v>231</v>
      </c>
      <c r="I18" s="8">
        <v>47.1</v>
      </c>
      <c r="J18" s="8">
        <v>2.2999999999999998</v>
      </c>
      <c r="K18" s="8">
        <v>1.3</v>
      </c>
      <c r="L18" s="8">
        <v>2.4</v>
      </c>
      <c r="M18" s="8">
        <v>1.7</v>
      </c>
      <c r="N18" s="8">
        <v>1.5</v>
      </c>
      <c r="O18" s="8">
        <v>1.1000000000000001</v>
      </c>
      <c r="P18" s="8">
        <v>0.5</v>
      </c>
      <c r="Q18" s="8">
        <v>1.1000000000000001</v>
      </c>
      <c r="R18" s="8">
        <v>234.6</v>
      </c>
      <c r="S18">
        <v>10</v>
      </c>
      <c r="T18" s="12">
        <v>5</v>
      </c>
      <c r="U18" s="13">
        <v>2.17</v>
      </c>
      <c r="V18" s="13">
        <v>2</v>
      </c>
      <c r="W18" s="13">
        <v>4.1399999999999997</v>
      </c>
      <c r="X18" s="13">
        <v>4.4000000000000004</v>
      </c>
      <c r="Y18" s="13">
        <v>5.25</v>
      </c>
      <c r="Z18" s="13">
        <v>2.33</v>
      </c>
      <c r="AA18" s="13">
        <v>4.33</v>
      </c>
      <c r="AB18" s="14">
        <v>16</v>
      </c>
    </row>
    <row r="19" spans="1:28">
      <c r="A19" s="6">
        <v>9</v>
      </c>
      <c r="B19" t="s">
        <v>7</v>
      </c>
      <c r="C19" t="s">
        <v>55</v>
      </c>
      <c r="D19" t="s">
        <v>56</v>
      </c>
      <c r="E19" t="s">
        <v>57</v>
      </c>
      <c r="F19">
        <v>1</v>
      </c>
      <c r="G19" t="s">
        <v>11</v>
      </c>
      <c r="I19" s="8">
        <v>36.5</v>
      </c>
      <c r="J19" s="8">
        <v>7.6</v>
      </c>
      <c r="K19" s="8">
        <v>16.8</v>
      </c>
      <c r="L19" s="8">
        <v>1.3</v>
      </c>
      <c r="M19" s="8">
        <v>1.6</v>
      </c>
      <c r="N19" s="8">
        <v>32</v>
      </c>
      <c r="O19" s="8">
        <v>11</v>
      </c>
      <c r="P19" s="8">
        <v>2.4</v>
      </c>
      <c r="Q19" s="8">
        <v>18.2</v>
      </c>
      <c r="R19" s="8">
        <v>106.6</v>
      </c>
      <c r="S19">
        <v>10</v>
      </c>
      <c r="T19" s="15">
        <v>5</v>
      </c>
      <c r="U19" s="16">
        <v>2.17</v>
      </c>
      <c r="V19" s="16">
        <v>2</v>
      </c>
      <c r="W19" s="16">
        <v>4.1399999999999997</v>
      </c>
      <c r="X19" s="16">
        <v>4.4000000000000004</v>
      </c>
      <c r="Y19" s="16">
        <v>5.25</v>
      </c>
      <c r="Z19" s="16">
        <v>2.33</v>
      </c>
      <c r="AA19" s="16">
        <v>4.33</v>
      </c>
      <c r="AB19" s="17">
        <v>16</v>
      </c>
    </row>
    <row r="20" spans="1:28">
      <c r="A20">
        <v>10</v>
      </c>
      <c r="B20" t="s">
        <v>7</v>
      </c>
      <c r="C20" t="s">
        <v>58</v>
      </c>
      <c r="D20" t="s">
        <v>59</v>
      </c>
      <c r="E20" t="s">
        <v>60</v>
      </c>
      <c r="F20">
        <v>1</v>
      </c>
      <c r="G20" t="s">
        <v>11</v>
      </c>
      <c r="H20" t="s">
        <v>231</v>
      </c>
      <c r="I20">
        <v>56.4</v>
      </c>
      <c r="J20">
        <v>17.3</v>
      </c>
      <c r="K20">
        <v>16.5</v>
      </c>
      <c r="L20">
        <v>0</v>
      </c>
      <c r="M20">
        <v>0</v>
      </c>
      <c r="N20">
        <v>0</v>
      </c>
      <c r="O20">
        <v>13</v>
      </c>
      <c r="P20">
        <v>16.2</v>
      </c>
      <c r="Q20">
        <v>0</v>
      </c>
      <c r="R20">
        <v>135.4</v>
      </c>
      <c r="S20">
        <v>9</v>
      </c>
      <c r="T20" s="12">
        <v>5</v>
      </c>
      <c r="U20" s="13">
        <v>2.17</v>
      </c>
      <c r="V20" s="13">
        <v>1.6</v>
      </c>
      <c r="W20" s="13">
        <v>5.14</v>
      </c>
      <c r="X20" s="13">
        <v>6</v>
      </c>
      <c r="Y20" s="13">
        <v>5</v>
      </c>
      <c r="Z20" s="13">
        <v>5</v>
      </c>
      <c r="AA20" s="13">
        <v>3</v>
      </c>
      <c r="AB20" s="14">
        <v>23</v>
      </c>
    </row>
    <row r="21" spans="1:28">
      <c r="A21">
        <v>10</v>
      </c>
      <c r="B21" t="s">
        <v>12</v>
      </c>
      <c r="C21" t="s">
        <v>16</v>
      </c>
      <c r="D21" t="s">
        <v>16</v>
      </c>
      <c r="E21" t="s">
        <v>26</v>
      </c>
      <c r="F21">
        <v>0</v>
      </c>
      <c r="G21" t="s">
        <v>19</v>
      </c>
      <c r="I21">
        <v>58.6</v>
      </c>
      <c r="J21">
        <v>0</v>
      </c>
      <c r="K21">
        <v>0</v>
      </c>
      <c r="L21">
        <v>0</v>
      </c>
      <c r="M21">
        <v>0</v>
      </c>
      <c r="N21">
        <v>0</v>
      </c>
      <c r="O21">
        <v>0</v>
      </c>
      <c r="P21">
        <v>0</v>
      </c>
      <c r="Q21">
        <v>0</v>
      </c>
      <c r="R21">
        <v>73.7</v>
      </c>
      <c r="S21">
        <v>9</v>
      </c>
      <c r="T21" s="15">
        <v>5</v>
      </c>
      <c r="U21" s="16">
        <v>2.17</v>
      </c>
      <c r="V21" s="16">
        <v>1.6</v>
      </c>
      <c r="W21" s="16">
        <v>5.14</v>
      </c>
      <c r="X21" s="16">
        <v>6</v>
      </c>
      <c r="Y21" s="16">
        <v>5</v>
      </c>
      <c r="Z21" s="16">
        <v>5</v>
      </c>
      <c r="AA21" s="16">
        <v>3</v>
      </c>
      <c r="AB21" s="17">
        <v>23</v>
      </c>
    </row>
    <row r="22" spans="1:28">
      <c r="A22" s="6">
        <v>11</v>
      </c>
      <c r="B22" t="s">
        <v>12</v>
      </c>
      <c r="C22" t="s">
        <v>61</v>
      </c>
      <c r="D22" t="s">
        <v>62</v>
      </c>
      <c r="E22" t="s">
        <v>63</v>
      </c>
      <c r="F22">
        <v>1</v>
      </c>
      <c r="G22" t="s">
        <v>11</v>
      </c>
      <c r="H22" t="s">
        <v>230</v>
      </c>
      <c r="I22" s="8">
        <v>30.2</v>
      </c>
      <c r="J22" s="8">
        <v>26.7</v>
      </c>
      <c r="K22" s="8">
        <v>73.099999999999994</v>
      </c>
      <c r="L22" s="8">
        <v>0</v>
      </c>
      <c r="M22" s="8">
        <v>0</v>
      </c>
      <c r="N22" s="8">
        <v>0</v>
      </c>
      <c r="O22" s="8">
        <v>31</v>
      </c>
      <c r="P22" s="8">
        <v>50.5</v>
      </c>
      <c r="Q22" s="8">
        <v>0</v>
      </c>
      <c r="R22" s="8">
        <v>170.2</v>
      </c>
      <c r="S22">
        <v>10</v>
      </c>
      <c r="T22" s="12">
        <v>4.75</v>
      </c>
      <c r="U22" s="13">
        <v>1.5</v>
      </c>
      <c r="V22" s="13">
        <v>2.2000000000000002</v>
      </c>
      <c r="W22" s="13">
        <v>3.57</v>
      </c>
      <c r="X22" s="13">
        <v>4</v>
      </c>
      <c r="Y22" s="13">
        <v>3.75</v>
      </c>
      <c r="Z22" s="13">
        <v>2.67</v>
      </c>
      <c r="AA22" s="13">
        <v>2.33</v>
      </c>
      <c r="AB22" s="14">
        <v>18</v>
      </c>
    </row>
    <row r="23" spans="1:28">
      <c r="A23" s="6">
        <v>11</v>
      </c>
      <c r="B23" t="s">
        <v>7</v>
      </c>
      <c r="C23" t="s">
        <v>64</v>
      </c>
      <c r="D23" t="s">
        <v>65</v>
      </c>
      <c r="E23" t="s">
        <v>66</v>
      </c>
      <c r="F23">
        <v>1</v>
      </c>
      <c r="G23" t="s">
        <v>11</v>
      </c>
      <c r="I23" s="8">
        <v>36.700000000000003</v>
      </c>
      <c r="J23" s="8">
        <v>43</v>
      </c>
      <c r="K23" s="8">
        <v>48.9</v>
      </c>
      <c r="L23" s="8">
        <v>0</v>
      </c>
      <c r="M23" s="8">
        <v>0</v>
      </c>
      <c r="N23" s="8">
        <v>0</v>
      </c>
      <c r="O23" s="8">
        <v>54</v>
      </c>
      <c r="P23" s="8">
        <v>44.6</v>
      </c>
      <c r="Q23" s="8">
        <v>0</v>
      </c>
      <c r="R23" s="8">
        <v>146.80000000000001</v>
      </c>
      <c r="S23">
        <v>10</v>
      </c>
      <c r="T23" s="15">
        <v>4.75</v>
      </c>
      <c r="U23" s="16">
        <v>1.5</v>
      </c>
      <c r="V23" s="16">
        <v>2.2000000000000002</v>
      </c>
      <c r="W23" s="16">
        <v>3.57</v>
      </c>
      <c r="X23" s="16">
        <v>4</v>
      </c>
      <c r="Y23" s="16">
        <v>3.75</v>
      </c>
      <c r="Z23" s="16">
        <v>2.67</v>
      </c>
      <c r="AA23" s="16">
        <v>2.33</v>
      </c>
      <c r="AB23" s="17">
        <v>18</v>
      </c>
    </row>
    <row r="24" spans="1:28">
      <c r="A24">
        <v>12</v>
      </c>
      <c r="B24" t="s">
        <v>7</v>
      </c>
      <c r="C24" t="s">
        <v>23</v>
      </c>
      <c r="D24" t="s">
        <v>67</v>
      </c>
      <c r="E24" t="s">
        <v>68</v>
      </c>
      <c r="F24">
        <v>1</v>
      </c>
      <c r="G24" t="s">
        <v>11</v>
      </c>
      <c r="H24" t="s">
        <v>231</v>
      </c>
      <c r="I24">
        <v>14.6</v>
      </c>
      <c r="J24">
        <v>58.4</v>
      </c>
      <c r="K24">
        <v>53.2</v>
      </c>
      <c r="L24">
        <v>1.5</v>
      </c>
      <c r="M24">
        <v>0</v>
      </c>
      <c r="N24">
        <v>31.5</v>
      </c>
      <c r="O24">
        <v>71.8</v>
      </c>
      <c r="P24">
        <v>84</v>
      </c>
      <c r="Q24">
        <v>31.2</v>
      </c>
      <c r="R24">
        <v>295.60000000000002</v>
      </c>
      <c r="S24">
        <v>5</v>
      </c>
      <c r="T24" s="12">
        <v>4.75</v>
      </c>
      <c r="U24" s="13">
        <v>1</v>
      </c>
      <c r="V24" s="13">
        <v>1</v>
      </c>
      <c r="W24" s="13">
        <v>4.57</v>
      </c>
      <c r="X24" s="13">
        <v>4.8</v>
      </c>
      <c r="Y24" s="13">
        <v>3.5</v>
      </c>
      <c r="Z24" s="13">
        <v>6</v>
      </c>
      <c r="AA24" s="13">
        <v>5.67</v>
      </c>
      <c r="AB24" s="14">
        <v>21</v>
      </c>
    </row>
    <row r="25" spans="1:28">
      <c r="A25">
        <v>12</v>
      </c>
      <c r="B25" t="s">
        <v>12</v>
      </c>
      <c r="C25" t="s">
        <v>16</v>
      </c>
      <c r="D25" t="s">
        <v>16</v>
      </c>
      <c r="E25" t="s">
        <v>26</v>
      </c>
      <c r="F25">
        <v>0</v>
      </c>
      <c r="G25" t="s">
        <v>19</v>
      </c>
      <c r="I25">
        <v>73.5</v>
      </c>
      <c r="J25">
        <v>5.8</v>
      </c>
      <c r="K25">
        <v>0</v>
      </c>
      <c r="L25">
        <v>1.7</v>
      </c>
      <c r="M25">
        <v>0</v>
      </c>
      <c r="N25">
        <v>2</v>
      </c>
      <c r="O25">
        <v>7.4</v>
      </c>
      <c r="P25">
        <v>5.4</v>
      </c>
      <c r="Q25">
        <v>0</v>
      </c>
      <c r="R25">
        <v>179</v>
      </c>
      <c r="S25">
        <v>5</v>
      </c>
      <c r="T25" s="15">
        <v>4.75</v>
      </c>
      <c r="U25" s="16">
        <v>1</v>
      </c>
      <c r="V25" s="16">
        <v>1</v>
      </c>
      <c r="W25" s="16">
        <v>4.57</v>
      </c>
      <c r="X25" s="16">
        <v>4.8</v>
      </c>
      <c r="Y25" s="16">
        <v>3.5</v>
      </c>
      <c r="Z25" s="16">
        <v>6</v>
      </c>
      <c r="AA25" s="16">
        <v>5.67</v>
      </c>
      <c r="AB25" s="17">
        <v>21</v>
      </c>
    </row>
    <row r="26" spans="1:28">
      <c r="A26" s="6">
        <v>13</v>
      </c>
      <c r="B26" t="s">
        <v>12</v>
      </c>
      <c r="C26" t="s">
        <v>69</v>
      </c>
      <c r="D26" t="s">
        <v>70</v>
      </c>
      <c r="E26" t="s">
        <v>71</v>
      </c>
      <c r="F26">
        <v>0</v>
      </c>
      <c r="G26" t="s">
        <v>19</v>
      </c>
      <c r="H26" t="s">
        <v>231</v>
      </c>
      <c r="I26" s="8">
        <v>34.200000000000003</v>
      </c>
      <c r="J26" s="8">
        <v>8.8000000000000007</v>
      </c>
      <c r="K26" s="8">
        <v>8.8000000000000007</v>
      </c>
      <c r="L26" s="8">
        <v>23</v>
      </c>
      <c r="M26" s="8">
        <v>5</v>
      </c>
      <c r="N26" s="8">
        <v>4.5999999999999996</v>
      </c>
      <c r="O26" s="8">
        <v>31.8</v>
      </c>
      <c r="P26" s="8">
        <v>30</v>
      </c>
      <c r="Q26" s="8">
        <v>20.6</v>
      </c>
      <c r="R26" s="8">
        <v>122.7</v>
      </c>
      <c r="S26">
        <v>10</v>
      </c>
      <c r="T26" s="12">
        <v>4.25</v>
      </c>
      <c r="U26" s="13">
        <v>0.67</v>
      </c>
      <c r="V26" s="13">
        <v>1</v>
      </c>
      <c r="W26" s="13">
        <v>4.29</v>
      </c>
      <c r="X26" s="13">
        <v>4</v>
      </c>
      <c r="Y26" s="13">
        <v>4.25</v>
      </c>
      <c r="Z26" s="13">
        <v>5</v>
      </c>
      <c r="AA26" s="13">
        <v>6</v>
      </c>
      <c r="AB26" s="14">
        <v>20</v>
      </c>
    </row>
    <row r="27" spans="1:28">
      <c r="A27" s="6">
        <v>13</v>
      </c>
      <c r="B27" t="s">
        <v>7</v>
      </c>
      <c r="C27" t="s">
        <v>72</v>
      </c>
      <c r="D27" t="s">
        <v>73</v>
      </c>
      <c r="E27" t="s">
        <v>74</v>
      </c>
      <c r="F27">
        <v>1</v>
      </c>
      <c r="G27" t="s">
        <v>11</v>
      </c>
      <c r="I27" s="8">
        <v>35.299999999999997</v>
      </c>
      <c r="J27" s="8">
        <v>54.8</v>
      </c>
      <c r="K27" s="8">
        <v>19</v>
      </c>
      <c r="L27" s="8">
        <v>39.799999999999997</v>
      </c>
      <c r="M27" s="8">
        <v>23.1</v>
      </c>
      <c r="N27" s="8">
        <v>24.8</v>
      </c>
      <c r="O27" s="8">
        <v>49.5</v>
      </c>
      <c r="P27" s="8">
        <v>46.1</v>
      </c>
      <c r="Q27" s="8">
        <v>46.5</v>
      </c>
      <c r="R27" s="8">
        <v>66.400000000000006</v>
      </c>
      <c r="S27">
        <v>10</v>
      </c>
      <c r="T27" s="15">
        <v>4.25</v>
      </c>
      <c r="U27" s="16">
        <v>0.67</v>
      </c>
      <c r="V27" s="16">
        <v>1</v>
      </c>
      <c r="W27" s="16">
        <v>4.29</v>
      </c>
      <c r="X27" s="16">
        <v>4</v>
      </c>
      <c r="Y27" s="16">
        <v>4.25</v>
      </c>
      <c r="Z27" s="16">
        <v>5</v>
      </c>
      <c r="AA27" s="16">
        <v>6</v>
      </c>
      <c r="AB27" s="17">
        <v>20</v>
      </c>
    </row>
    <row r="28" spans="1:28">
      <c r="A28">
        <v>14</v>
      </c>
      <c r="B28" t="s">
        <v>7</v>
      </c>
      <c r="C28" t="s">
        <v>58</v>
      </c>
      <c r="D28" t="s">
        <v>75</v>
      </c>
      <c r="E28" t="s">
        <v>76</v>
      </c>
      <c r="F28">
        <v>1</v>
      </c>
      <c r="G28" t="s">
        <v>11</v>
      </c>
      <c r="H28" t="s">
        <v>231</v>
      </c>
      <c r="I28">
        <v>23.6</v>
      </c>
      <c r="J28">
        <v>37.299999999999997</v>
      </c>
      <c r="K28">
        <v>65.5</v>
      </c>
      <c r="L28">
        <v>0</v>
      </c>
      <c r="M28">
        <v>0</v>
      </c>
      <c r="N28">
        <v>5.0999999999999996</v>
      </c>
      <c r="O28">
        <v>70.2</v>
      </c>
      <c r="P28">
        <v>77.900000000000006</v>
      </c>
      <c r="Q28">
        <v>73.2</v>
      </c>
      <c r="R28">
        <v>213.8</v>
      </c>
      <c r="S28">
        <v>9</v>
      </c>
      <c r="T28" s="12">
        <v>5</v>
      </c>
      <c r="U28" s="13">
        <v>0.83</v>
      </c>
      <c r="V28" s="13">
        <v>1.8</v>
      </c>
      <c r="W28" s="13">
        <v>3</v>
      </c>
      <c r="X28" s="13">
        <v>3</v>
      </c>
      <c r="Y28" s="13">
        <v>4</v>
      </c>
      <c r="Z28" s="13">
        <v>4.67</v>
      </c>
      <c r="AA28" s="13">
        <v>3.33</v>
      </c>
      <c r="AB28" s="14">
        <v>25</v>
      </c>
    </row>
    <row r="29" spans="1:28">
      <c r="A29">
        <v>14</v>
      </c>
      <c r="B29" t="s">
        <v>12</v>
      </c>
      <c r="C29" t="s">
        <v>16</v>
      </c>
      <c r="D29" t="s">
        <v>16</v>
      </c>
      <c r="E29" t="s">
        <v>26</v>
      </c>
      <c r="F29">
        <v>0</v>
      </c>
      <c r="G29" t="s">
        <v>19</v>
      </c>
      <c r="I29">
        <v>56</v>
      </c>
      <c r="J29">
        <v>11.4</v>
      </c>
      <c r="K29">
        <v>2.5</v>
      </c>
      <c r="L29">
        <v>0</v>
      </c>
      <c r="M29">
        <v>0</v>
      </c>
      <c r="N29">
        <v>0</v>
      </c>
      <c r="O29">
        <v>17.7</v>
      </c>
      <c r="P29">
        <v>18.2</v>
      </c>
      <c r="Q29">
        <v>8.3000000000000007</v>
      </c>
      <c r="R29">
        <v>188.3</v>
      </c>
      <c r="S29">
        <v>9</v>
      </c>
      <c r="T29" s="15">
        <v>5</v>
      </c>
      <c r="U29" s="16">
        <v>0.83</v>
      </c>
      <c r="V29" s="16">
        <v>1.8</v>
      </c>
      <c r="W29" s="16">
        <v>3</v>
      </c>
      <c r="X29" s="16">
        <v>3</v>
      </c>
      <c r="Y29" s="16">
        <v>4</v>
      </c>
      <c r="Z29" s="16">
        <v>4.67</v>
      </c>
      <c r="AA29" s="16">
        <v>3.33</v>
      </c>
      <c r="AB29" s="17">
        <v>25</v>
      </c>
    </row>
    <row r="30" spans="1:28">
      <c r="A30" s="6">
        <v>15</v>
      </c>
      <c r="B30" t="s">
        <v>12</v>
      </c>
      <c r="C30" t="s">
        <v>16</v>
      </c>
      <c r="D30" t="s">
        <v>77</v>
      </c>
      <c r="E30" t="s">
        <v>78</v>
      </c>
      <c r="F30">
        <v>0</v>
      </c>
      <c r="G30" t="s">
        <v>19</v>
      </c>
      <c r="H30" t="s">
        <v>231</v>
      </c>
      <c r="I30" s="8">
        <v>1.7</v>
      </c>
      <c r="J30" s="8">
        <v>27.2</v>
      </c>
      <c r="K30" s="8">
        <v>1.7</v>
      </c>
      <c r="L30" s="8">
        <v>2.4</v>
      </c>
      <c r="M30" s="8">
        <v>0</v>
      </c>
      <c r="N30" s="8">
        <v>0.8</v>
      </c>
      <c r="O30" s="8">
        <v>3.8</v>
      </c>
      <c r="P30" s="8">
        <v>3.4</v>
      </c>
      <c r="Q30" s="8">
        <v>2.9</v>
      </c>
      <c r="R30" s="8">
        <v>211.1</v>
      </c>
      <c r="S30">
        <v>9</v>
      </c>
      <c r="T30" s="12">
        <v>4.5</v>
      </c>
      <c r="U30" s="13">
        <v>1.17</v>
      </c>
      <c r="V30" s="13">
        <v>3</v>
      </c>
      <c r="W30" s="13">
        <v>3</v>
      </c>
      <c r="X30" s="13">
        <v>4.4000000000000004</v>
      </c>
      <c r="Y30" s="13">
        <v>1.75</v>
      </c>
      <c r="Z30" s="13">
        <v>2.33</v>
      </c>
      <c r="AA30" s="13">
        <v>2.67</v>
      </c>
      <c r="AB30" s="14">
        <v>28</v>
      </c>
    </row>
    <row r="31" spans="1:28">
      <c r="A31" s="6">
        <v>15</v>
      </c>
      <c r="B31" t="s">
        <v>7</v>
      </c>
      <c r="C31" t="s">
        <v>16</v>
      </c>
      <c r="D31" t="s">
        <v>37</v>
      </c>
      <c r="E31" t="s">
        <v>79</v>
      </c>
      <c r="F31">
        <v>1</v>
      </c>
      <c r="G31" t="s">
        <v>11</v>
      </c>
      <c r="I31" s="8">
        <v>0</v>
      </c>
      <c r="J31" s="8">
        <v>36.200000000000003</v>
      </c>
      <c r="K31" s="8">
        <v>0.1</v>
      </c>
      <c r="L31" s="8">
        <v>0</v>
      </c>
      <c r="M31" s="8">
        <v>0</v>
      </c>
      <c r="N31" s="8">
        <v>2.4</v>
      </c>
      <c r="O31" s="8">
        <v>6.6</v>
      </c>
      <c r="P31" s="8">
        <v>7.4</v>
      </c>
      <c r="Q31" s="8">
        <v>0.1</v>
      </c>
      <c r="R31" s="8">
        <v>197.1</v>
      </c>
      <c r="S31">
        <v>9</v>
      </c>
      <c r="T31" s="15">
        <v>4.5</v>
      </c>
      <c r="U31" s="16">
        <v>1.17</v>
      </c>
      <c r="V31" s="16">
        <v>3</v>
      </c>
      <c r="W31" s="16">
        <v>3</v>
      </c>
      <c r="X31" s="16">
        <v>4.4000000000000004</v>
      </c>
      <c r="Y31" s="16">
        <v>1.75</v>
      </c>
      <c r="Z31" s="16">
        <v>2.33</v>
      </c>
      <c r="AA31" s="16">
        <v>2.67</v>
      </c>
      <c r="AB31" s="17">
        <v>28</v>
      </c>
    </row>
    <row r="32" spans="1:28">
      <c r="A32">
        <v>16</v>
      </c>
      <c r="B32" t="s">
        <v>7</v>
      </c>
      <c r="C32" t="s">
        <v>80</v>
      </c>
      <c r="D32" t="s">
        <v>81</v>
      </c>
      <c r="E32" t="s">
        <v>82</v>
      </c>
      <c r="F32">
        <v>1</v>
      </c>
      <c r="G32" t="s">
        <v>11</v>
      </c>
      <c r="H32" t="s">
        <v>231</v>
      </c>
      <c r="I32">
        <v>53.4</v>
      </c>
      <c r="J32">
        <v>22</v>
      </c>
      <c r="K32">
        <v>65</v>
      </c>
      <c r="L32">
        <v>7.6</v>
      </c>
      <c r="M32">
        <v>1.1000000000000001</v>
      </c>
      <c r="N32">
        <v>11.5</v>
      </c>
      <c r="O32">
        <v>9.6999999999999993</v>
      </c>
      <c r="P32">
        <v>17.7</v>
      </c>
      <c r="Q32">
        <v>4.2</v>
      </c>
      <c r="R32">
        <v>118</v>
      </c>
      <c r="S32">
        <v>10</v>
      </c>
      <c r="T32" s="12">
        <v>3.75</v>
      </c>
      <c r="U32" s="13">
        <v>1.17</v>
      </c>
      <c r="V32" s="13">
        <v>2.4</v>
      </c>
      <c r="W32" s="13">
        <v>3.29</v>
      </c>
      <c r="X32" s="13">
        <v>4.2</v>
      </c>
      <c r="Y32" s="13">
        <v>3.25</v>
      </c>
      <c r="Z32" s="13">
        <v>3.33</v>
      </c>
      <c r="AA32" s="13">
        <v>4.67</v>
      </c>
      <c r="AB32" s="14">
        <v>21</v>
      </c>
    </row>
    <row r="33" spans="1:28">
      <c r="A33">
        <v>16</v>
      </c>
      <c r="B33" t="s">
        <v>12</v>
      </c>
      <c r="C33" t="s">
        <v>16</v>
      </c>
      <c r="D33" t="s">
        <v>16</v>
      </c>
      <c r="E33" t="s">
        <v>26</v>
      </c>
      <c r="F33">
        <v>0</v>
      </c>
      <c r="G33" t="s">
        <v>19</v>
      </c>
      <c r="I33">
        <v>47.9</v>
      </c>
      <c r="J33">
        <v>11.1</v>
      </c>
      <c r="K33">
        <v>2.7</v>
      </c>
      <c r="L33">
        <v>8.6</v>
      </c>
      <c r="M33">
        <v>0.7</v>
      </c>
      <c r="N33">
        <v>0.4</v>
      </c>
      <c r="O33">
        <v>3.1</v>
      </c>
      <c r="P33">
        <v>0.8</v>
      </c>
      <c r="Q33">
        <v>0.4</v>
      </c>
      <c r="R33">
        <v>54.3</v>
      </c>
      <c r="S33">
        <v>10</v>
      </c>
      <c r="T33" s="15">
        <v>3.75</v>
      </c>
      <c r="U33" s="16">
        <v>1.17</v>
      </c>
      <c r="V33" s="16">
        <v>2.4</v>
      </c>
      <c r="W33" s="16">
        <v>3.29</v>
      </c>
      <c r="X33" s="16">
        <v>4.2</v>
      </c>
      <c r="Y33" s="16">
        <v>3.25</v>
      </c>
      <c r="Z33" s="16">
        <v>3.33</v>
      </c>
      <c r="AA33" s="16">
        <v>4.67</v>
      </c>
      <c r="AB33" s="17">
        <v>21</v>
      </c>
    </row>
    <row r="34" spans="1:28">
      <c r="A34" s="6">
        <v>17</v>
      </c>
      <c r="B34" t="s">
        <v>12</v>
      </c>
      <c r="C34" t="s">
        <v>16</v>
      </c>
      <c r="D34" t="s">
        <v>83</v>
      </c>
      <c r="E34" t="s">
        <v>84</v>
      </c>
      <c r="F34">
        <v>1</v>
      </c>
      <c r="G34" t="s">
        <v>11</v>
      </c>
      <c r="H34" t="s">
        <v>230</v>
      </c>
      <c r="I34" s="8">
        <v>65.7</v>
      </c>
      <c r="J34" s="8">
        <v>28.2</v>
      </c>
      <c r="K34" s="8">
        <v>33.9</v>
      </c>
      <c r="L34" s="8">
        <v>0.8</v>
      </c>
      <c r="M34" s="8">
        <v>0.5</v>
      </c>
      <c r="N34" s="8">
        <v>7.1</v>
      </c>
      <c r="O34" s="8">
        <v>2.7</v>
      </c>
      <c r="P34" s="8">
        <v>6.2</v>
      </c>
      <c r="Q34" s="8">
        <v>0.9</v>
      </c>
      <c r="R34" s="8">
        <v>103.2</v>
      </c>
      <c r="S34">
        <v>9</v>
      </c>
      <c r="T34" s="12">
        <v>4.25</v>
      </c>
      <c r="U34" s="13">
        <v>2</v>
      </c>
      <c r="V34" s="13">
        <v>4</v>
      </c>
      <c r="W34" s="13">
        <v>4.57</v>
      </c>
      <c r="X34" s="13">
        <v>4.4000000000000004</v>
      </c>
      <c r="Y34" s="13">
        <v>3.75</v>
      </c>
      <c r="Z34" s="13">
        <v>3.67</v>
      </c>
      <c r="AA34" s="13">
        <v>3.67</v>
      </c>
      <c r="AB34" s="14">
        <v>17</v>
      </c>
    </row>
    <row r="35" spans="1:28">
      <c r="A35" s="6">
        <v>17</v>
      </c>
      <c r="B35" t="s">
        <v>7</v>
      </c>
      <c r="C35" t="s">
        <v>85</v>
      </c>
      <c r="D35" t="s">
        <v>86</v>
      </c>
      <c r="E35" t="s">
        <v>87</v>
      </c>
      <c r="F35">
        <v>1</v>
      </c>
      <c r="G35" t="s">
        <v>11</v>
      </c>
      <c r="I35" s="8">
        <v>50.4</v>
      </c>
      <c r="J35" s="8">
        <v>59.7</v>
      </c>
      <c r="K35" s="8">
        <v>66.5</v>
      </c>
      <c r="L35" s="8">
        <v>0.7</v>
      </c>
      <c r="M35" s="8">
        <v>1.2</v>
      </c>
      <c r="N35" s="8">
        <v>21.7</v>
      </c>
      <c r="O35" s="8">
        <v>50.1</v>
      </c>
      <c r="P35" s="8">
        <v>63.4</v>
      </c>
      <c r="Q35" s="8">
        <v>9.1999999999999993</v>
      </c>
      <c r="R35" s="8">
        <v>110.6</v>
      </c>
      <c r="S35">
        <v>9</v>
      </c>
      <c r="T35" s="15">
        <v>4.25</v>
      </c>
      <c r="U35" s="16">
        <v>2</v>
      </c>
      <c r="V35" s="16">
        <v>4</v>
      </c>
      <c r="W35" s="16">
        <v>4.57</v>
      </c>
      <c r="X35" s="16">
        <v>4.4000000000000004</v>
      </c>
      <c r="Y35" s="16">
        <v>3.75</v>
      </c>
      <c r="Z35" s="16">
        <v>3.67</v>
      </c>
      <c r="AA35" s="16">
        <v>3.67</v>
      </c>
      <c r="AB35" s="17">
        <v>17</v>
      </c>
    </row>
    <row r="36" spans="1:28">
      <c r="A36">
        <v>18</v>
      </c>
      <c r="B36" t="s">
        <v>7</v>
      </c>
      <c r="C36" t="s">
        <v>88</v>
      </c>
      <c r="D36" t="s">
        <v>89</v>
      </c>
      <c r="E36" t="s">
        <v>90</v>
      </c>
      <c r="F36">
        <v>1</v>
      </c>
      <c r="G36" t="s">
        <v>11</v>
      </c>
      <c r="H36" t="s">
        <v>230</v>
      </c>
      <c r="I36">
        <v>36.200000000000003</v>
      </c>
      <c r="J36">
        <v>28.2</v>
      </c>
      <c r="K36">
        <v>28.4</v>
      </c>
      <c r="L36">
        <v>13.8</v>
      </c>
      <c r="M36">
        <v>6</v>
      </c>
      <c r="N36">
        <v>1.1000000000000001</v>
      </c>
      <c r="O36">
        <v>17.7</v>
      </c>
      <c r="P36">
        <v>21</v>
      </c>
      <c r="Q36">
        <v>0.8</v>
      </c>
      <c r="R36">
        <v>127.3</v>
      </c>
      <c r="S36">
        <v>9</v>
      </c>
      <c r="T36" s="12">
        <v>5.75</v>
      </c>
      <c r="U36" s="13">
        <v>1</v>
      </c>
      <c r="V36" s="13">
        <v>2.8</v>
      </c>
      <c r="W36" s="13">
        <v>5.71</v>
      </c>
      <c r="X36" s="13">
        <v>5.4</v>
      </c>
      <c r="Y36" s="13">
        <v>5.25</v>
      </c>
      <c r="Z36" s="13">
        <v>4.67</v>
      </c>
      <c r="AA36" s="13">
        <v>5.67</v>
      </c>
      <c r="AB36" s="14">
        <v>28</v>
      </c>
    </row>
    <row r="37" spans="1:28">
      <c r="A37">
        <v>18</v>
      </c>
      <c r="B37" t="s">
        <v>12</v>
      </c>
      <c r="C37" t="s">
        <v>88</v>
      </c>
      <c r="D37" t="s">
        <v>89</v>
      </c>
      <c r="E37" t="s">
        <v>90</v>
      </c>
      <c r="F37">
        <v>1</v>
      </c>
      <c r="G37" t="s">
        <v>11</v>
      </c>
      <c r="I37">
        <v>33</v>
      </c>
      <c r="J37">
        <v>11.9</v>
      </c>
      <c r="K37">
        <v>11.9</v>
      </c>
      <c r="L37">
        <v>1.6</v>
      </c>
      <c r="M37">
        <v>0</v>
      </c>
      <c r="N37">
        <v>0.1</v>
      </c>
      <c r="O37">
        <v>16.600000000000001</v>
      </c>
      <c r="P37">
        <v>19.600000000000001</v>
      </c>
      <c r="Q37">
        <v>0</v>
      </c>
      <c r="R37">
        <v>302.3</v>
      </c>
      <c r="S37">
        <v>9</v>
      </c>
      <c r="T37" s="15">
        <v>5.75</v>
      </c>
      <c r="U37" s="16">
        <v>1</v>
      </c>
      <c r="V37" s="16">
        <v>2.8</v>
      </c>
      <c r="W37" s="16">
        <v>5.71</v>
      </c>
      <c r="X37" s="16">
        <v>5.4</v>
      </c>
      <c r="Y37" s="16">
        <v>5.25</v>
      </c>
      <c r="Z37" s="16">
        <v>4.67</v>
      </c>
      <c r="AA37" s="16">
        <v>5.67</v>
      </c>
      <c r="AB37" s="17">
        <v>28</v>
      </c>
    </row>
    <row r="38" spans="1:28">
      <c r="A38" s="6">
        <v>19</v>
      </c>
      <c r="B38" t="s">
        <v>12</v>
      </c>
      <c r="C38" t="s">
        <v>16</v>
      </c>
      <c r="D38" t="s">
        <v>16</v>
      </c>
      <c r="E38" t="s">
        <v>26</v>
      </c>
      <c r="F38">
        <v>0</v>
      </c>
      <c r="G38" t="s">
        <v>19</v>
      </c>
      <c r="H38" t="s">
        <v>231</v>
      </c>
      <c r="I38" s="8">
        <v>51.6</v>
      </c>
      <c r="J38" s="8">
        <v>0.8</v>
      </c>
      <c r="K38" s="8">
        <v>1.2</v>
      </c>
      <c r="L38" s="8">
        <v>1.1000000000000001</v>
      </c>
      <c r="M38" s="8">
        <v>0.9</v>
      </c>
      <c r="N38" s="8">
        <v>0.5</v>
      </c>
      <c r="O38" s="8">
        <v>5.5</v>
      </c>
      <c r="P38" s="8">
        <v>0.3</v>
      </c>
      <c r="Q38" s="8">
        <v>0.5</v>
      </c>
      <c r="R38" s="8">
        <v>379.4</v>
      </c>
      <c r="S38">
        <v>6</v>
      </c>
      <c r="T38" s="12">
        <v>3.75</v>
      </c>
      <c r="U38" s="13">
        <v>1.33</v>
      </c>
      <c r="V38" s="13">
        <v>3.6</v>
      </c>
      <c r="W38" s="13">
        <v>3</v>
      </c>
      <c r="X38" s="13">
        <v>4</v>
      </c>
      <c r="Y38" s="13">
        <v>3.25</v>
      </c>
      <c r="Z38" s="13">
        <v>3</v>
      </c>
      <c r="AA38" s="13">
        <v>3.33</v>
      </c>
      <c r="AB38" s="14">
        <v>25</v>
      </c>
    </row>
    <row r="39" spans="1:28">
      <c r="A39" s="6">
        <v>19</v>
      </c>
      <c r="B39" t="s">
        <v>7</v>
      </c>
      <c r="C39" t="s">
        <v>85</v>
      </c>
      <c r="D39" t="s">
        <v>24</v>
      </c>
      <c r="E39" t="s">
        <v>91</v>
      </c>
      <c r="F39">
        <v>1</v>
      </c>
      <c r="G39" t="s">
        <v>11</v>
      </c>
      <c r="I39" s="8">
        <v>63.3</v>
      </c>
      <c r="J39" s="8">
        <v>20</v>
      </c>
      <c r="K39" s="8">
        <v>24.4</v>
      </c>
      <c r="L39" s="8">
        <v>0.8</v>
      </c>
      <c r="M39" s="8">
        <v>1.6</v>
      </c>
      <c r="N39" s="8">
        <v>2.4</v>
      </c>
      <c r="O39" s="8">
        <v>13.9</v>
      </c>
      <c r="P39" s="8">
        <v>9.4</v>
      </c>
      <c r="Q39" s="8">
        <v>0.5</v>
      </c>
      <c r="R39" s="8">
        <v>149.5</v>
      </c>
      <c r="S39">
        <v>6</v>
      </c>
      <c r="T39" s="15">
        <v>3.75</v>
      </c>
      <c r="U39" s="16">
        <v>1.33</v>
      </c>
      <c r="V39" s="16">
        <v>3.6</v>
      </c>
      <c r="W39" s="16">
        <v>3</v>
      </c>
      <c r="X39" s="16">
        <v>4</v>
      </c>
      <c r="Y39" s="16">
        <v>3.25</v>
      </c>
      <c r="Z39" s="16">
        <v>3</v>
      </c>
      <c r="AA39" s="16">
        <v>3.33</v>
      </c>
      <c r="AB39" s="17">
        <v>25</v>
      </c>
    </row>
    <row r="40" spans="1:28">
      <c r="A40">
        <v>20</v>
      </c>
      <c r="B40" t="s">
        <v>7</v>
      </c>
      <c r="C40" t="s">
        <v>85</v>
      </c>
      <c r="D40" t="s">
        <v>92</v>
      </c>
      <c r="E40" t="s">
        <v>93</v>
      </c>
      <c r="F40">
        <v>1</v>
      </c>
      <c r="G40" t="s">
        <v>11</v>
      </c>
      <c r="H40" t="s">
        <v>231</v>
      </c>
      <c r="I40">
        <v>72.900000000000006</v>
      </c>
      <c r="J40">
        <v>25.3</v>
      </c>
      <c r="K40">
        <v>80.8</v>
      </c>
      <c r="L40">
        <v>1.3</v>
      </c>
      <c r="M40">
        <v>1.3</v>
      </c>
      <c r="N40">
        <v>1.1000000000000001</v>
      </c>
      <c r="O40">
        <v>23.3</v>
      </c>
      <c r="P40">
        <v>25.2</v>
      </c>
      <c r="Q40">
        <v>1.5</v>
      </c>
      <c r="R40">
        <v>113.9</v>
      </c>
      <c r="S40">
        <v>10</v>
      </c>
      <c r="T40" s="12">
        <v>4</v>
      </c>
      <c r="U40" s="13">
        <v>0.67</v>
      </c>
      <c r="V40" s="13">
        <v>2.6</v>
      </c>
      <c r="W40" s="13">
        <v>4.1399999999999997</v>
      </c>
      <c r="X40" s="13">
        <v>4.4000000000000004</v>
      </c>
      <c r="Y40" s="13">
        <v>4</v>
      </c>
      <c r="Z40" s="13">
        <v>4.67</v>
      </c>
      <c r="AA40" s="13">
        <v>4.67</v>
      </c>
      <c r="AB40" s="14">
        <v>33</v>
      </c>
    </row>
    <row r="41" spans="1:28">
      <c r="A41">
        <v>20</v>
      </c>
      <c r="B41" t="s">
        <v>12</v>
      </c>
      <c r="C41" t="s">
        <v>16</v>
      </c>
      <c r="D41" t="s">
        <v>16</v>
      </c>
      <c r="E41" t="s">
        <v>26</v>
      </c>
      <c r="F41">
        <v>0</v>
      </c>
      <c r="G41" t="s">
        <v>19</v>
      </c>
      <c r="I41">
        <v>93.4</v>
      </c>
      <c r="J41">
        <v>48.7</v>
      </c>
      <c r="K41">
        <v>49</v>
      </c>
      <c r="L41">
        <v>0</v>
      </c>
      <c r="M41">
        <v>0.5</v>
      </c>
      <c r="N41">
        <v>0.6</v>
      </c>
      <c r="O41">
        <v>0.3</v>
      </c>
      <c r="P41">
        <v>0.4</v>
      </c>
      <c r="Q41">
        <v>0.1</v>
      </c>
      <c r="R41">
        <v>212.2</v>
      </c>
      <c r="S41">
        <v>10</v>
      </c>
      <c r="T41" s="15">
        <v>4</v>
      </c>
      <c r="U41" s="16">
        <v>0.67</v>
      </c>
      <c r="V41" s="16">
        <v>2.6</v>
      </c>
      <c r="W41" s="16">
        <v>4.1399999999999997</v>
      </c>
      <c r="X41" s="16">
        <v>4.4000000000000004</v>
      </c>
      <c r="Y41" s="16">
        <v>4</v>
      </c>
      <c r="Z41" s="16">
        <v>4.67</v>
      </c>
      <c r="AA41" s="16">
        <v>4.67</v>
      </c>
      <c r="AB41" s="17">
        <v>33</v>
      </c>
    </row>
    <row r="42" spans="1:28">
      <c r="A42" s="6">
        <v>21</v>
      </c>
      <c r="B42" t="s">
        <v>12</v>
      </c>
      <c r="C42" t="s">
        <v>94</v>
      </c>
      <c r="D42" t="s">
        <v>95</v>
      </c>
      <c r="E42" t="s">
        <v>96</v>
      </c>
      <c r="F42">
        <v>1</v>
      </c>
      <c r="G42" t="s">
        <v>11</v>
      </c>
      <c r="H42" t="s">
        <v>230</v>
      </c>
      <c r="I42" s="8">
        <v>56.8</v>
      </c>
      <c r="J42" s="8">
        <v>37.4</v>
      </c>
      <c r="K42" s="8">
        <v>55.4</v>
      </c>
      <c r="L42" s="8">
        <v>20.399999999999999</v>
      </c>
      <c r="M42" s="8">
        <v>3.9</v>
      </c>
      <c r="N42" s="8">
        <v>5.9</v>
      </c>
      <c r="O42" s="8">
        <v>32</v>
      </c>
      <c r="P42" s="8">
        <v>15.5</v>
      </c>
      <c r="Q42" s="8">
        <v>21.7</v>
      </c>
      <c r="R42" s="8">
        <v>489.9</v>
      </c>
      <c r="S42">
        <v>8</v>
      </c>
      <c r="T42" s="12">
        <v>4.25</v>
      </c>
      <c r="U42" s="13">
        <v>1.5</v>
      </c>
      <c r="V42" s="13">
        <v>1.4</v>
      </c>
      <c r="W42" s="13">
        <v>4.29</v>
      </c>
      <c r="X42" s="13">
        <v>4</v>
      </c>
      <c r="Y42" s="13">
        <v>3.5</v>
      </c>
      <c r="Z42" s="13">
        <v>3.67</v>
      </c>
      <c r="AA42" s="13">
        <v>4.33</v>
      </c>
      <c r="AB42" s="14">
        <v>24</v>
      </c>
    </row>
    <row r="43" spans="1:28">
      <c r="A43" s="6">
        <v>21</v>
      </c>
      <c r="B43" t="s">
        <v>7</v>
      </c>
      <c r="C43" t="s">
        <v>97</v>
      </c>
      <c r="D43" t="s">
        <v>37</v>
      </c>
      <c r="E43" t="s">
        <v>98</v>
      </c>
      <c r="F43">
        <v>1</v>
      </c>
      <c r="G43" t="s">
        <v>11</v>
      </c>
      <c r="I43" s="8">
        <v>68</v>
      </c>
      <c r="J43" s="8">
        <v>62.2</v>
      </c>
      <c r="K43" s="8">
        <v>67.400000000000006</v>
      </c>
      <c r="L43" s="8">
        <v>2</v>
      </c>
      <c r="M43" s="8">
        <v>1.2</v>
      </c>
      <c r="N43" s="8">
        <v>5.2</v>
      </c>
      <c r="O43" s="8">
        <v>63</v>
      </c>
      <c r="P43" s="8">
        <v>66.099999999999994</v>
      </c>
      <c r="Q43" s="8">
        <v>58.4</v>
      </c>
      <c r="R43" s="8">
        <v>191.7</v>
      </c>
      <c r="S43">
        <v>8</v>
      </c>
      <c r="T43" s="15">
        <v>4.25</v>
      </c>
      <c r="U43" s="16">
        <v>1.5</v>
      </c>
      <c r="V43" s="16">
        <v>1.4</v>
      </c>
      <c r="W43" s="16">
        <v>4.29</v>
      </c>
      <c r="X43" s="16">
        <v>4</v>
      </c>
      <c r="Y43" s="16">
        <v>3.5</v>
      </c>
      <c r="Z43" s="16">
        <v>3.67</v>
      </c>
      <c r="AA43" s="16">
        <v>4.33</v>
      </c>
      <c r="AB43" s="17">
        <v>24</v>
      </c>
    </row>
    <row r="44" spans="1:28">
      <c r="A44">
        <v>22</v>
      </c>
      <c r="B44" t="s">
        <v>7</v>
      </c>
      <c r="C44" t="s">
        <v>85</v>
      </c>
      <c r="D44" t="s">
        <v>99</v>
      </c>
      <c r="E44" t="s">
        <v>100</v>
      </c>
      <c r="F44">
        <v>1</v>
      </c>
      <c r="G44" t="s">
        <v>11</v>
      </c>
      <c r="H44" t="s">
        <v>230</v>
      </c>
      <c r="I44">
        <v>49.3</v>
      </c>
      <c r="J44">
        <v>7.5</v>
      </c>
      <c r="K44">
        <v>60.1</v>
      </c>
      <c r="L44">
        <v>3.6</v>
      </c>
      <c r="M44">
        <v>3.1</v>
      </c>
      <c r="N44">
        <v>4.4000000000000004</v>
      </c>
      <c r="O44">
        <v>10.5</v>
      </c>
      <c r="P44">
        <v>9.6999999999999993</v>
      </c>
      <c r="Q44">
        <v>8.6999999999999993</v>
      </c>
      <c r="R44">
        <v>244</v>
      </c>
      <c r="S44">
        <v>11</v>
      </c>
      <c r="T44" s="12">
        <v>3.75</v>
      </c>
      <c r="U44" s="13">
        <v>1.83</v>
      </c>
      <c r="V44" s="13">
        <v>2.8</v>
      </c>
      <c r="W44" s="13">
        <v>3.14</v>
      </c>
      <c r="X44" s="13">
        <v>2</v>
      </c>
      <c r="Y44" s="13">
        <v>2.25</v>
      </c>
      <c r="Z44" s="13">
        <v>2</v>
      </c>
      <c r="AA44" s="13">
        <v>4</v>
      </c>
      <c r="AB44" s="14">
        <v>12</v>
      </c>
    </row>
    <row r="45" spans="1:28">
      <c r="A45">
        <v>22</v>
      </c>
      <c r="B45" t="s">
        <v>12</v>
      </c>
      <c r="C45" t="s">
        <v>101</v>
      </c>
      <c r="D45" t="s">
        <v>102</v>
      </c>
      <c r="E45" t="s">
        <v>103</v>
      </c>
      <c r="F45">
        <v>1</v>
      </c>
      <c r="G45" t="s">
        <v>11</v>
      </c>
      <c r="I45">
        <v>35</v>
      </c>
      <c r="J45">
        <v>2.9</v>
      </c>
      <c r="K45">
        <v>22.4</v>
      </c>
      <c r="L45">
        <v>2</v>
      </c>
      <c r="M45">
        <v>2.5</v>
      </c>
      <c r="N45">
        <v>3.5</v>
      </c>
      <c r="O45">
        <v>12.6</v>
      </c>
      <c r="P45">
        <v>2.1</v>
      </c>
      <c r="Q45">
        <v>1.6</v>
      </c>
      <c r="R45">
        <v>215.8</v>
      </c>
      <c r="S45">
        <v>11</v>
      </c>
      <c r="T45" s="15">
        <v>3.75</v>
      </c>
      <c r="U45" s="16">
        <v>1.83</v>
      </c>
      <c r="V45" s="16">
        <v>2.8</v>
      </c>
      <c r="W45" s="16">
        <v>3.14</v>
      </c>
      <c r="X45" s="16">
        <v>2</v>
      </c>
      <c r="Y45" s="16">
        <v>2.25</v>
      </c>
      <c r="Z45" s="16">
        <v>2</v>
      </c>
      <c r="AA45" s="16">
        <v>4</v>
      </c>
      <c r="AB45" s="17">
        <v>12</v>
      </c>
    </row>
    <row r="46" spans="1:28">
      <c r="A46" s="6">
        <v>23</v>
      </c>
      <c r="B46" t="s">
        <v>12</v>
      </c>
      <c r="C46" t="s">
        <v>104</v>
      </c>
      <c r="D46" t="s">
        <v>105</v>
      </c>
      <c r="E46" t="s">
        <v>106</v>
      </c>
      <c r="F46">
        <v>1</v>
      </c>
      <c r="G46" t="s">
        <v>11</v>
      </c>
      <c r="H46" t="s">
        <v>230</v>
      </c>
      <c r="I46" s="8">
        <v>59</v>
      </c>
      <c r="J46" s="8">
        <v>20.8</v>
      </c>
      <c r="K46" s="8">
        <v>33.5</v>
      </c>
      <c r="L46" s="8">
        <v>55.1</v>
      </c>
      <c r="M46" s="8">
        <v>23.6</v>
      </c>
      <c r="N46" s="8">
        <v>3.8</v>
      </c>
      <c r="O46" s="8">
        <v>27.9</v>
      </c>
      <c r="P46" s="8">
        <v>18.600000000000001</v>
      </c>
      <c r="Q46" s="8">
        <v>5.6</v>
      </c>
      <c r="R46" s="8">
        <v>131.4</v>
      </c>
      <c r="S46">
        <v>8</v>
      </c>
      <c r="T46" s="12">
        <v>4.75</v>
      </c>
      <c r="U46" s="13">
        <v>1.33</v>
      </c>
      <c r="V46" s="13">
        <v>3.8</v>
      </c>
      <c r="W46" s="13">
        <v>5.29</v>
      </c>
      <c r="X46" s="13">
        <v>3.4</v>
      </c>
      <c r="Y46" s="13">
        <v>5</v>
      </c>
      <c r="Z46" s="13">
        <v>4.33</v>
      </c>
      <c r="AA46" s="13">
        <v>5</v>
      </c>
      <c r="AB46" s="14">
        <v>21</v>
      </c>
    </row>
    <row r="47" spans="1:28">
      <c r="A47" s="6">
        <v>23</v>
      </c>
      <c r="B47" t="s">
        <v>7</v>
      </c>
      <c r="C47" t="s">
        <v>107</v>
      </c>
      <c r="D47" t="s">
        <v>108</v>
      </c>
      <c r="E47" t="s">
        <v>109</v>
      </c>
      <c r="F47">
        <v>1</v>
      </c>
      <c r="G47" t="s">
        <v>11</v>
      </c>
      <c r="I47" s="8">
        <v>63.4</v>
      </c>
      <c r="J47" s="8">
        <v>60.3</v>
      </c>
      <c r="K47" s="8">
        <v>62.5</v>
      </c>
      <c r="L47" s="8">
        <v>52.9</v>
      </c>
      <c r="M47" s="8">
        <v>23.1</v>
      </c>
      <c r="N47" s="8">
        <v>1.3</v>
      </c>
      <c r="O47" s="8">
        <v>72.099999999999994</v>
      </c>
      <c r="P47" s="8">
        <v>71.8</v>
      </c>
      <c r="Q47" s="8">
        <v>31.5</v>
      </c>
      <c r="R47" s="8">
        <v>68.400000000000006</v>
      </c>
      <c r="S47">
        <v>8</v>
      </c>
      <c r="T47" s="15">
        <v>4.75</v>
      </c>
      <c r="U47" s="16">
        <v>1.33</v>
      </c>
      <c r="V47" s="16">
        <v>3.8</v>
      </c>
      <c r="W47" s="16">
        <v>5.29</v>
      </c>
      <c r="X47" s="16">
        <v>3.4</v>
      </c>
      <c r="Y47" s="16">
        <v>5</v>
      </c>
      <c r="Z47" s="16">
        <v>4.33</v>
      </c>
      <c r="AA47" s="16">
        <v>5</v>
      </c>
      <c r="AB47" s="17">
        <v>21</v>
      </c>
    </row>
    <row r="48" spans="1:28">
      <c r="A48">
        <v>24</v>
      </c>
      <c r="B48" t="s">
        <v>7</v>
      </c>
      <c r="C48" t="s">
        <v>110</v>
      </c>
      <c r="D48" t="s">
        <v>111</v>
      </c>
      <c r="E48" t="s">
        <v>112</v>
      </c>
      <c r="F48">
        <v>1</v>
      </c>
      <c r="G48" t="s">
        <v>11</v>
      </c>
      <c r="H48" t="s">
        <v>230</v>
      </c>
      <c r="I48" s="8">
        <v>68.2</v>
      </c>
      <c r="J48" s="8">
        <v>50.3</v>
      </c>
      <c r="K48" s="8">
        <v>38.200000000000003</v>
      </c>
      <c r="L48" s="8">
        <v>0</v>
      </c>
      <c r="M48" s="8">
        <v>0</v>
      </c>
      <c r="N48" s="8">
        <v>0</v>
      </c>
      <c r="O48" s="8">
        <v>24.9</v>
      </c>
      <c r="P48" s="8">
        <v>68.599999999999994</v>
      </c>
      <c r="Q48" s="8">
        <v>0</v>
      </c>
      <c r="R48" s="8">
        <v>165.5</v>
      </c>
      <c r="S48">
        <v>10</v>
      </c>
      <c r="T48" s="12">
        <v>4.5</v>
      </c>
      <c r="U48" s="13">
        <v>1.67</v>
      </c>
      <c r="V48" s="13">
        <v>2.4</v>
      </c>
      <c r="W48" s="13">
        <v>3.43</v>
      </c>
      <c r="X48" s="13">
        <v>5.4</v>
      </c>
      <c r="Y48" s="13">
        <v>3.5</v>
      </c>
      <c r="Z48" s="13">
        <v>3.33</v>
      </c>
      <c r="AA48" s="13">
        <v>4.33</v>
      </c>
      <c r="AB48" s="14">
        <v>28</v>
      </c>
    </row>
    <row r="49" spans="1:28">
      <c r="A49">
        <v>24</v>
      </c>
      <c r="B49" t="s">
        <v>12</v>
      </c>
      <c r="C49" t="s">
        <v>113</v>
      </c>
      <c r="D49" t="s">
        <v>114</v>
      </c>
      <c r="E49" t="s">
        <v>115</v>
      </c>
      <c r="F49">
        <v>1</v>
      </c>
      <c r="G49" t="s">
        <v>11</v>
      </c>
      <c r="I49" s="8">
        <v>49.2</v>
      </c>
      <c r="J49" s="8">
        <v>45</v>
      </c>
      <c r="K49" s="8">
        <v>23.1</v>
      </c>
      <c r="L49" s="8">
        <v>0</v>
      </c>
      <c r="M49" s="8">
        <v>0</v>
      </c>
      <c r="N49" s="8">
        <v>0</v>
      </c>
      <c r="O49" s="8">
        <v>44.5</v>
      </c>
      <c r="P49" s="8">
        <v>45.3</v>
      </c>
      <c r="Q49" s="8">
        <v>0</v>
      </c>
      <c r="R49" s="8">
        <v>246</v>
      </c>
      <c r="S49">
        <v>10</v>
      </c>
      <c r="T49" s="15">
        <v>4.5</v>
      </c>
      <c r="U49" s="16">
        <v>1.67</v>
      </c>
      <c r="V49" s="16">
        <v>2.4</v>
      </c>
      <c r="W49" s="16">
        <v>3.43</v>
      </c>
      <c r="X49" s="16">
        <v>5.4</v>
      </c>
      <c r="Y49" s="16">
        <v>3.5</v>
      </c>
      <c r="Z49" s="16">
        <v>3.33</v>
      </c>
      <c r="AA49" s="16">
        <v>4.33</v>
      </c>
      <c r="AB49" s="17">
        <v>28</v>
      </c>
    </row>
    <row r="50" spans="1:28">
      <c r="A50" s="6">
        <v>25</v>
      </c>
      <c r="B50" t="s">
        <v>12</v>
      </c>
      <c r="C50" t="s">
        <v>53</v>
      </c>
      <c r="D50" t="s">
        <v>116</v>
      </c>
      <c r="E50" t="s">
        <v>117</v>
      </c>
      <c r="F50">
        <v>1</v>
      </c>
      <c r="G50" t="s">
        <v>11</v>
      </c>
      <c r="H50" t="s">
        <v>230</v>
      </c>
      <c r="I50" s="8">
        <v>57.5</v>
      </c>
      <c r="J50" s="8">
        <v>58.7</v>
      </c>
      <c r="K50" s="8">
        <v>7.8</v>
      </c>
      <c r="L50" s="8">
        <v>4.3</v>
      </c>
      <c r="M50" s="8">
        <v>0</v>
      </c>
      <c r="N50" s="8">
        <v>0</v>
      </c>
      <c r="O50" s="8">
        <v>3.2</v>
      </c>
      <c r="P50" s="8">
        <v>1.6</v>
      </c>
      <c r="Q50" s="8">
        <v>0</v>
      </c>
      <c r="R50" s="8">
        <v>345.2</v>
      </c>
      <c r="S50">
        <v>10</v>
      </c>
      <c r="T50" s="12">
        <v>4.5</v>
      </c>
      <c r="U50" s="13">
        <v>2.17</v>
      </c>
      <c r="V50" s="13">
        <v>1.4</v>
      </c>
      <c r="W50" s="13">
        <v>4</v>
      </c>
      <c r="X50" s="13">
        <v>4.8</v>
      </c>
      <c r="Y50" s="13">
        <v>4</v>
      </c>
      <c r="Z50" s="13">
        <v>4.33</v>
      </c>
      <c r="AA50" s="13">
        <v>5</v>
      </c>
      <c r="AB50" s="14">
        <v>32</v>
      </c>
    </row>
    <row r="51" spans="1:28">
      <c r="A51" s="6">
        <v>25</v>
      </c>
      <c r="B51" t="s">
        <v>7</v>
      </c>
      <c r="C51" t="s">
        <v>118</v>
      </c>
      <c r="D51" t="s">
        <v>119</v>
      </c>
      <c r="E51" t="s">
        <v>120</v>
      </c>
      <c r="F51">
        <v>1</v>
      </c>
      <c r="G51" t="s">
        <v>11</v>
      </c>
      <c r="I51" s="8">
        <v>58.8</v>
      </c>
      <c r="J51" s="8">
        <v>19.399999999999999</v>
      </c>
      <c r="K51" s="8">
        <v>13.4</v>
      </c>
      <c r="L51" s="8">
        <v>0</v>
      </c>
      <c r="M51" s="8">
        <v>0.7</v>
      </c>
      <c r="N51" s="8">
        <v>0</v>
      </c>
      <c r="O51" s="8">
        <v>12.7</v>
      </c>
      <c r="P51" s="8">
        <v>7.1</v>
      </c>
      <c r="Q51" s="8">
        <v>0</v>
      </c>
      <c r="R51" s="8">
        <v>237.9</v>
      </c>
      <c r="S51">
        <v>10</v>
      </c>
      <c r="T51" s="15">
        <v>4.5</v>
      </c>
      <c r="U51" s="16">
        <v>2.17</v>
      </c>
      <c r="V51" s="16">
        <v>1.4</v>
      </c>
      <c r="W51" s="16">
        <v>4</v>
      </c>
      <c r="X51" s="16">
        <v>4.8</v>
      </c>
      <c r="Y51" s="16">
        <v>4</v>
      </c>
      <c r="Z51" s="16">
        <v>4.33</v>
      </c>
      <c r="AA51" s="16">
        <v>5</v>
      </c>
      <c r="AB51" s="17">
        <v>32</v>
      </c>
    </row>
    <row r="52" spans="1:28">
      <c r="A52">
        <v>26</v>
      </c>
      <c r="B52" t="s">
        <v>7</v>
      </c>
      <c r="C52" t="s">
        <v>121</v>
      </c>
      <c r="D52" t="s">
        <v>122</v>
      </c>
      <c r="E52" t="s">
        <v>123</v>
      </c>
      <c r="F52">
        <v>1</v>
      </c>
      <c r="G52" t="s">
        <v>11</v>
      </c>
      <c r="H52" t="s">
        <v>231</v>
      </c>
      <c r="I52">
        <v>36.5</v>
      </c>
      <c r="J52">
        <v>21.2</v>
      </c>
      <c r="K52">
        <v>32.299999999999997</v>
      </c>
      <c r="L52">
        <v>18.399999999999999</v>
      </c>
      <c r="M52">
        <v>19.7</v>
      </c>
      <c r="N52">
        <v>27.3</v>
      </c>
      <c r="O52">
        <v>31.5</v>
      </c>
      <c r="P52">
        <v>19</v>
      </c>
      <c r="Q52">
        <v>48.9</v>
      </c>
      <c r="R52">
        <v>312.3</v>
      </c>
      <c r="S52">
        <v>9</v>
      </c>
      <c r="T52" s="12">
        <v>4.25</v>
      </c>
      <c r="U52" s="13">
        <v>1</v>
      </c>
      <c r="V52" s="13">
        <v>3.4</v>
      </c>
      <c r="W52" s="13">
        <v>3.43</v>
      </c>
      <c r="X52" s="13">
        <v>5</v>
      </c>
      <c r="Y52" s="13">
        <v>3.75</v>
      </c>
      <c r="Z52" s="13">
        <v>4.67</v>
      </c>
      <c r="AA52" s="13">
        <v>5</v>
      </c>
      <c r="AB52" s="14">
        <v>21</v>
      </c>
    </row>
    <row r="53" spans="1:28">
      <c r="A53">
        <v>26</v>
      </c>
      <c r="B53" t="s">
        <v>12</v>
      </c>
      <c r="C53" t="s">
        <v>124</v>
      </c>
      <c r="D53" t="s">
        <v>124</v>
      </c>
      <c r="E53" t="s">
        <v>125</v>
      </c>
      <c r="F53">
        <v>0</v>
      </c>
      <c r="G53" t="s">
        <v>19</v>
      </c>
      <c r="I53">
        <v>57.5</v>
      </c>
      <c r="J53">
        <v>3.2</v>
      </c>
      <c r="K53">
        <v>2.1</v>
      </c>
      <c r="L53">
        <v>5.0999999999999996</v>
      </c>
      <c r="M53">
        <v>1.9</v>
      </c>
      <c r="N53">
        <v>1.1000000000000001</v>
      </c>
      <c r="O53">
        <v>7.9</v>
      </c>
      <c r="P53">
        <v>3.1</v>
      </c>
      <c r="Q53">
        <v>2.9</v>
      </c>
      <c r="R53">
        <v>183</v>
      </c>
      <c r="S53">
        <v>9</v>
      </c>
      <c r="T53" s="15">
        <v>4.25</v>
      </c>
      <c r="U53" s="16">
        <v>1</v>
      </c>
      <c r="V53" s="16">
        <v>3.4</v>
      </c>
      <c r="W53" s="16">
        <v>3.43</v>
      </c>
      <c r="X53" s="16">
        <v>5</v>
      </c>
      <c r="Y53" s="16">
        <v>3.75</v>
      </c>
      <c r="Z53" s="16">
        <v>4.67</v>
      </c>
      <c r="AA53" s="16">
        <v>5</v>
      </c>
      <c r="AB53" s="17">
        <v>21</v>
      </c>
    </row>
    <row r="54" spans="1:28">
      <c r="A54" s="6">
        <v>27</v>
      </c>
      <c r="B54" t="s">
        <v>12</v>
      </c>
      <c r="C54" t="s">
        <v>53</v>
      </c>
      <c r="D54" t="s">
        <v>53</v>
      </c>
      <c r="E54" t="s">
        <v>54</v>
      </c>
      <c r="F54">
        <v>0</v>
      </c>
      <c r="G54" t="s">
        <v>19</v>
      </c>
      <c r="H54" t="s">
        <v>231</v>
      </c>
      <c r="I54" s="8">
        <v>71.3</v>
      </c>
      <c r="J54" s="8">
        <v>0</v>
      </c>
      <c r="K54" s="8">
        <v>0</v>
      </c>
      <c r="L54" s="8">
        <v>0</v>
      </c>
      <c r="M54" s="8">
        <v>0</v>
      </c>
      <c r="N54" s="8">
        <v>0</v>
      </c>
      <c r="O54" s="8">
        <v>0</v>
      </c>
      <c r="P54" s="8">
        <v>0</v>
      </c>
      <c r="Q54" s="8">
        <v>0</v>
      </c>
      <c r="R54" s="8">
        <v>164.2</v>
      </c>
      <c r="S54">
        <v>10</v>
      </c>
      <c r="T54" s="12">
        <v>4.25</v>
      </c>
      <c r="U54" s="13">
        <v>0.67</v>
      </c>
      <c r="V54" s="13">
        <v>3.2</v>
      </c>
      <c r="W54" s="13">
        <v>5.14</v>
      </c>
      <c r="X54" s="13">
        <v>5.4</v>
      </c>
      <c r="Y54" s="13">
        <v>4.5</v>
      </c>
      <c r="Z54" s="13">
        <v>3.67</v>
      </c>
      <c r="AA54" s="13">
        <v>4.33</v>
      </c>
      <c r="AB54" s="14">
        <v>24</v>
      </c>
    </row>
    <row r="55" spans="1:28">
      <c r="A55" s="6">
        <v>27</v>
      </c>
      <c r="B55" t="s">
        <v>7</v>
      </c>
      <c r="C55" t="s">
        <v>126</v>
      </c>
      <c r="D55" t="s">
        <v>53</v>
      </c>
      <c r="E55" t="s">
        <v>127</v>
      </c>
      <c r="F55">
        <v>1</v>
      </c>
      <c r="G55" t="s">
        <v>11</v>
      </c>
      <c r="I55" s="8">
        <v>50.7</v>
      </c>
      <c r="J55" s="8">
        <v>21.4</v>
      </c>
      <c r="K55" s="8">
        <v>38.1</v>
      </c>
      <c r="L55" s="8">
        <v>0</v>
      </c>
      <c r="M55" s="8">
        <v>9.9</v>
      </c>
      <c r="N55" s="8">
        <v>5.4</v>
      </c>
      <c r="O55" s="8">
        <v>17.7</v>
      </c>
      <c r="P55" s="8">
        <v>13.8</v>
      </c>
      <c r="Q55" s="8">
        <v>0</v>
      </c>
      <c r="R55" s="8">
        <v>136.69999999999999</v>
      </c>
      <c r="S55">
        <v>10</v>
      </c>
      <c r="T55" s="15">
        <v>4.25</v>
      </c>
      <c r="U55" s="16">
        <v>0.67</v>
      </c>
      <c r="V55" s="16">
        <v>3.2</v>
      </c>
      <c r="W55" s="16">
        <v>5.14</v>
      </c>
      <c r="X55" s="16">
        <v>5.4</v>
      </c>
      <c r="Y55" s="16">
        <v>4.5</v>
      </c>
      <c r="Z55" s="16">
        <v>3.67</v>
      </c>
      <c r="AA55" s="16">
        <v>4.33</v>
      </c>
      <c r="AB55" s="17">
        <v>24</v>
      </c>
    </row>
    <row r="56" spans="1:28">
      <c r="A56">
        <v>28</v>
      </c>
      <c r="B56" t="s">
        <v>12</v>
      </c>
      <c r="C56" t="s">
        <v>16</v>
      </c>
      <c r="D56" t="s">
        <v>16</v>
      </c>
      <c r="E56" t="s">
        <v>26</v>
      </c>
      <c r="F56">
        <v>0</v>
      </c>
      <c r="G56" t="s">
        <v>19</v>
      </c>
      <c r="H56" t="s">
        <v>231</v>
      </c>
      <c r="I56">
        <v>41.7</v>
      </c>
      <c r="J56">
        <v>5.2</v>
      </c>
      <c r="K56">
        <v>9.3000000000000007</v>
      </c>
      <c r="L56">
        <v>4.2</v>
      </c>
      <c r="M56">
        <v>0</v>
      </c>
      <c r="N56">
        <v>0</v>
      </c>
      <c r="O56">
        <v>5.9</v>
      </c>
      <c r="P56">
        <v>3</v>
      </c>
      <c r="Q56">
        <v>2.4</v>
      </c>
      <c r="R56">
        <v>241.1</v>
      </c>
      <c r="S56">
        <v>9</v>
      </c>
      <c r="T56" s="12">
        <v>4.5</v>
      </c>
      <c r="U56" s="13">
        <v>2</v>
      </c>
      <c r="V56" s="13">
        <v>4.2</v>
      </c>
      <c r="W56" s="13">
        <v>4.43</v>
      </c>
      <c r="X56" s="13">
        <v>5.8</v>
      </c>
      <c r="Y56" s="13">
        <v>3.25</v>
      </c>
      <c r="Z56" s="13">
        <v>4.33</v>
      </c>
      <c r="AA56" s="13">
        <v>5.33</v>
      </c>
      <c r="AB56" s="14">
        <v>18</v>
      </c>
    </row>
    <row r="57" spans="1:28">
      <c r="A57">
        <v>28</v>
      </c>
      <c r="B57" t="s">
        <v>7</v>
      </c>
      <c r="C57" t="s">
        <v>128</v>
      </c>
      <c r="D57" t="s">
        <v>129</v>
      </c>
      <c r="E57" t="s">
        <v>130</v>
      </c>
      <c r="F57">
        <v>1</v>
      </c>
      <c r="G57" t="s">
        <v>11</v>
      </c>
      <c r="I57">
        <v>46.9</v>
      </c>
      <c r="J57">
        <v>18.2</v>
      </c>
      <c r="K57">
        <v>9.9</v>
      </c>
      <c r="L57">
        <v>2.8</v>
      </c>
      <c r="M57">
        <v>1.5</v>
      </c>
      <c r="N57">
        <v>0</v>
      </c>
      <c r="O57">
        <v>16.5</v>
      </c>
      <c r="P57">
        <v>24.9</v>
      </c>
      <c r="Q57">
        <v>2.5</v>
      </c>
      <c r="R57">
        <v>297.60000000000002</v>
      </c>
      <c r="S57">
        <v>9</v>
      </c>
      <c r="T57" s="15">
        <v>4.5</v>
      </c>
      <c r="U57" s="16">
        <v>2</v>
      </c>
      <c r="V57" s="16">
        <v>4.2</v>
      </c>
      <c r="W57" s="16">
        <v>4.43</v>
      </c>
      <c r="X57" s="16">
        <v>5.8</v>
      </c>
      <c r="Y57" s="16">
        <v>3.25</v>
      </c>
      <c r="Z57" s="16">
        <v>4.33</v>
      </c>
      <c r="AA57" s="16">
        <v>5.33</v>
      </c>
      <c r="AB57" s="17">
        <v>18</v>
      </c>
    </row>
    <row r="58" spans="1:28">
      <c r="A58" s="6">
        <v>29</v>
      </c>
      <c r="B58" t="s">
        <v>7</v>
      </c>
      <c r="C58" t="s">
        <v>131</v>
      </c>
      <c r="D58" t="s">
        <v>132</v>
      </c>
      <c r="E58" t="s">
        <v>133</v>
      </c>
      <c r="F58">
        <v>1</v>
      </c>
      <c r="G58" t="s">
        <v>11</v>
      </c>
      <c r="H58" t="s">
        <v>231</v>
      </c>
      <c r="I58" s="8">
        <v>14.5</v>
      </c>
      <c r="J58" s="8">
        <v>29.1</v>
      </c>
      <c r="K58" s="8">
        <v>59</v>
      </c>
      <c r="L58" s="8">
        <v>8.8000000000000007</v>
      </c>
      <c r="M58" s="8">
        <v>5.5</v>
      </c>
      <c r="N58" s="8">
        <v>8</v>
      </c>
      <c r="O58" s="8">
        <v>27.4</v>
      </c>
      <c r="P58" s="8">
        <v>63.6</v>
      </c>
      <c r="Q58" s="8">
        <v>12.9</v>
      </c>
      <c r="R58" s="8">
        <v>305</v>
      </c>
      <c r="S58">
        <v>10</v>
      </c>
      <c r="T58" s="12">
        <v>3.75</v>
      </c>
      <c r="U58" s="13">
        <v>2.67</v>
      </c>
      <c r="V58" s="13">
        <v>3.6</v>
      </c>
      <c r="W58" s="13">
        <v>3.43</v>
      </c>
      <c r="X58" s="13">
        <v>3.8</v>
      </c>
      <c r="Y58" s="13">
        <v>1.25</v>
      </c>
      <c r="Z58" s="13">
        <v>2.67</v>
      </c>
      <c r="AA58" s="13">
        <v>4.67</v>
      </c>
      <c r="AB58" s="14">
        <v>23</v>
      </c>
    </row>
    <row r="59" spans="1:28">
      <c r="A59" s="6">
        <v>29</v>
      </c>
      <c r="B59" t="s">
        <v>12</v>
      </c>
      <c r="C59" t="s">
        <v>134</v>
      </c>
      <c r="D59" t="s">
        <v>16</v>
      </c>
      <c r="E59" t="s">
        <v>135</v>
      </c>
      <c r="F59">
        <v>0</v>
      </c>
      <c r="G59" t="s">
        <v>19</v>
      </c>
      <c r="I59" s="8">
        <v>41.6</v>
      </c>
      <c r="J59" s="8">
        <v>13</v>
      </c>
      <c r="K59" s="8">
        <v>2.9</v>
      </c>
      <c r="L59" s="8">
        <v>2.2999999999999998</v>
      </c>
      <c r="M59" s="8">
        <v>1.6</v>
      </c>
      <c r="N59" s="8">
        <v>1.5</v>
      </c>
      <c r="O59" s="8">
        <v>5</v>
      </c>
      <c r="P59" s="8">
        <v>2.9</v>
      </c>
      <c r="Q59" s="8">
        <v>2.9</v>
      </c>
      <c r="R59" s="8">
        <v>261.2</v>
      </c>
      <c r="S59">
        <v>10</v>
      </c>
      <c r="T59" s="15">
        <v>3.75</v>
      </c>
      <c r="U59" s="16">
        <v>2.67</v>
      </c>
      <c r="V59" s="16">
        <v>3.6</v>
      </c>
      <c r="W59" s="16">
        <v>3.43</v>
      </c>
      <c r="X59" s="16">
        <v>3.8</v>
      </c>
      <c r="Y59" s="16">
        <v>1.25</v>
      </c>
      <c r="Z59" s="16">
        <v>2.67</v>
      </c>
      <c r="AA59" s="16">
        <v>4.67</v>
      </c>
      <c r="AB59" s="17">
        <v>23</v>
      </c>
    </row>
    <row r="60" spans="1:28">
      <c r="A60">
        <v>30</v>
      </c>
      <c r="B60" t="s">
        <v>12</v>
      </c>
      <c r="C60" t="s">
        <v>53</v>
      </c>
      <c r="D60" t="s">
        <v>53</v>
      </c>
      <c r="E60" t="s">
        <v>54</v>
      </c>
      <c r="F60">
        <v>0</v>
      </c>
      <c r="G60" t="s">
        <v>19</v>
      </c>
      <c r="H60" t="s">
        <v>231</v>
      </c>
      <c r="I60" s="8">
        <v>100</v>
      </c>
      <c r="J60" s="8">
        <v>0</v>
      </c>
      <c r="K60" s="8">
        <v>0</v>
      </c>
      <c r="L60" s="8">
        <v>0</v>
      </c>
      <c r="M60" s="8">
        <v>0</v>
      </c>
      <c r="N60" s="8">
        <v>0</v>
      </c>
      <c r="O60" s="8">
        <v>0</v>
      </c>
      <c r="P60" s="8">
        <v>0</v>
      </c>
      <c r="Q60" s="8">
        <v>0</v>
      </c>
      <c r="R60" s="8">
        <v>166.2</v>
      </c>
      <c r="S60">
        <v>10</v>
      </c>
      <c r="T60" s="12">
        <v>4.75</v>
      </c>
      <c r="U60" s="13">
        <v>1</v>
      </c>
      <c r="V60" s="13">
        <v>1.6</v>
      </c>
      <c r="W60" s="13">
        <v>4.29</v>
      </c>
      <c r="X60" s="13">
        <v>5.4</v>
      </c>
      <c r="Y60" s="13">
        <v>4.75</v>
      </c>
      <c r="Z60" s="13">
        <v>3.67</v>
      </c>
      <c r="AA60" s="13">
        <v>6</v>
      </c>
      <c r="AB60" s="14">
        <v>27</v>
      </c>
    </row>
    <row r="61" spans="1:28">
      <c r="A61">
        <v>30</v>
      </c>
      <c r="B61" t="s">
        <v>7</v>
      </c>
      <c r="C61" t="s">
        <v>136</v>
      </c>
      <c r="D61" t="s">
        <v>137</v>
      </c>
      <c r="E61" t="s">
        <v>138</v>
      </c>
      <c r="F61">
        <v>1</v>
      </c>
      <c r="G61" t="s">
        <v>11</v>
      </c>
      <c r="I61" s="8">
        <v>100</v>
      </c>
      <c r="J61" s="8">
        <v>3.6</v>
      </c>
      <c r="K61" s="8">
        <v>3.5</v>
      </c>
      <c r="L61" s="8">
        <v>0</v>
      </c>
      <c r="M61" s="8">
        <v>0</v>
      </c>
      <c r="N61" s="8">
        <v>0</v>
      </c>
      <c r="O61" s="8">
        <v>0.7</v>
      </c>
      <c r="P61" s="8">
        <v>1.6</v>
      </c>
      <c r="Q61" s="8">
        <v>0</v>
      </c>
      <c r="R61" s="8">
        <v>149.5</v>
      </c>
      <c r="S61">
        <v>10</v>
      </c>
      <c r="T61" s="15">
        <v>4.75</v>
      </c>
      <c r="U61" s="16">
        <v>1</v>
      </c>
      <c r="V61" s="16">
        <v>1.6</v>
      </c>
      <c r="W61" s="16">
        <v>4.29</v>
      </c>
      <c r="X61" s="16">
        <v>5.4</v>
      </c>
      <c r="Y61" s="16">
        <v>4.75</v>
      </c>
      <c r="Z61" s="16">
        <v>3.67</v>
      </c>
      <c r="AA61" s="16">
        <v>6</v>
      </c>
      <c r="AB61" s="17">
        <v>27</v>
      </c>
    </row>
    <row r="62" spans="1:28">
      <c r="A62" s="6">
        <v>31</v>
      </c>
      <c r="B62" t="s">
        <v>7</v>
      </c>
      <c r="C62" t="s">
        <v>139</v>
      </c>
      <c r="D62" t="s">
        <v>140</v>
      </c>
      <c r="E62" t="s">
        <v>141</v>
      </c>
      <c r="F62">
        <v>1</v>
      </c>
      <c r="G62" t="s">
        <v>11</v>
      </c>
      <c r="H62" t="s">
        <v>231</v>
      </c>
      <c r="I62">
        <v>3.6</v>
      </c>
      <c r="J62">
        <v>47.4</v>
      </c>
      <c r="K62">
        <v>61.5</v>
      </c>
      <c r="L62">
        <v>4.4000000000000004</v>
      </c>
      <c r="M62">
        <v>5.8</v>
      </c>
      <c r="N62">
        <v>4.4000000000000004</v>
      </c>
      <c r="O62">
        <v>25.5</v>
      </c>
      <c r="P62">
        <v>24.3</v>
      </c>
      <c r="Q62">
        <v>8</v>
      </c>
      <c r="R62">
        <v>325.10000000000002</v>
      </c>
      <c r="S62">
        <v>10</v>
      </c>
      <c r="T62" s="12">
        <v>5</v>
      </c>
      <c r="U62" s="13">
        <v>0.67</v>
      </c>
      <c r="V62" s="13">
        <v>2.4</v>
      </c>
      <c r="W62" s="13">
        <v>2.14</v>
      </c>
      <c r="X62" s="13">
        <v>5.6</v>
      </c>
      <c r="Y62" s="13">
        <v>2.75</v>
      </c>
      <c r="Z62" s="13">
        <v>2.67</v>
      </c>
      <c r="AA62" s="13">
        <v>4</v>
      </c>
      <c r="AB62" s="14">
        <v>20</v>
      </c>
    </row>
    <row r="63" spans="1:28">
      <c r="A63" s="6">
        <v>31</v>
      </c>
      <c r="B63" t="s">
        <v>12</v>
      </c>
      <c r="C63" t="s">
        <v>16</v>
      </c>
      <c r="D63" t="s">
        <v>30</v>
      </c>
      <c r="E63" t="s">
        <v>31</v>
      </c>
      <c r="F63">
        <v>0</v>
      </c>
      <c r="G63" t="s">
        <v>19</v>
      </c>
      <c r="I63">
        <v>65.5</v>
      </c>
      <c r="J63">
        <v>0</v>
      </c>
      <c r="K63">
        <v>0</v>
      </c>
      <c r="L63">
        <v>0</v>
      </c>
      <c r="M63">
        <v>0</v>
      </c>
      <c r="N63">
        <v>0</v>
      </c>
      <c r="O63">
        <v>0</v>
      </c>
      <c r="P63">
        <v>0</v>
      </c>
      <c r="Q63">
        <v>0</v>
      </c>
      <c r="R63">
        <v>461.6</v>
      </c>
      <c r="S63">
        <v>10</v>
      </c>
      <c r="T63" s="15">
        <v>5</v>
      </c>
      <c r="U63" s="16">
        <v>0.67</v>
      </c>
      <c r="V63" s="16">
        <v>2.4</v>
      </c>
      <c r="W63" s="16">
        <v>2.14</v>
      </c>
      <c r="X63" s="16">
        <v>5.6</v>
      </c>
      <c r="Y63" s="16">
        <v>2.75</v>
      </c>
      <c r="Z63" s="16">
        <v>2.67</v>
      </c>
      <c r="AA63" s="16">
        <v>4</v>
      </c>
      <c r="AB63" s="17">
        <v>20</v>
      </c>
    </row>
    <row r="64" spans="1:28">
      <c r="A64">
        <v>32</v>
      </c>
      <c r="B64" t="s">
        <v>7</v>
      </c>
      <c r="C64" t="s">
        <v>142</v>
      </c>
      <c r="D64" t="s">
        <v>143</v>
      </c>
      <c r="E64" t="s">
        <v>144</v>
      </c>
      <c r="F64">
        <v>1</v>
      </c>
      <c r="G64" t="s">
        <v>11</v>
      </c>
      <c r="H64" t="s">
        <v>230</v>
      </c>
      <c r="I64" s="8">
        <v>59.7</v>
      </c>
      <c r="J64" s="8">
        <v>11.3</v>
      </c>
      <c r="K64" s="8">
        <v>4.2</v>
      </c>
      <c r="L64" s="8">
        <v>0</v>
      </c>
      <c r="M64" s="8">
        <v>0</v>
      </c>
      <c r="N64" s="8">
        <v>0</v>
      </c>
      <c r="O64" s="8">
        <v>29</v>
      </c>
      <c r="P64" s="8">
        <v>18</v>
      </c>
      <c r="Q64" s="8">
        <v>5.0999999999999996</v>
      </c>
      <c r="R64" s="8">
        <v>231.9</v>
      </c>
      <c r="S64">
        <v>9</v>
      </c>
      <c r="T64" s="12">
        <v>3.25</v>
      </c>
      <c r="U64" s="13">
        <v>0.83</v>
      </c>
      <c r="V64" s="13">
        <v>2</v>
      </c>
      <c r="W64" s="13">
        <v>3.43</v>
      </c>
      <c r="X64" s="13">
        <v>3.4</v>
      </c>
      <c r="Y64" s="13">
        <v>2.75</v>
      </c>
      <c r="Z64" s="13">
        <v>3.33</v>
      </c>
      <c r="AA64" s="13">
        <v>4.33</v>
      </c>
      <c r="AB64" s="14">
        <v>20</v>
      </c>
    </row>
    <row r="65" spans="1:28">
      <c r="A65">
        <v>32</v>
      </c>
      <c r="B65" t="s">
        <v>12</v>
      </c>
      <c r="C65" t="s">
        <v>145</v>
      </c>
      <c r="D65" t="s">
        <v>16</v>
      </c>
      <c r="E65" t="s">
        <v>146</v>
      </c>
      <c r="F65">
        <v>1</v>
      </c>
      <c r="G65" t="s">
        <v>11</v>
      </c>
      <c r="I65" s="8">
        <v>66.599999999999994</v>
      </c>
      <c r="J65" s="8">
        <v>3.8</v>
      </c>
      <c r="K65" s="8">
        <v>0</v>
      </c>
      <c r="L65" s="8">
        <v>0.5</v>
      </c>
      <c r="M65" s="8">
        <v>0</v>
      </c>
      <c r="N65" s="8">
        <v>0</v>
      </c>
      <c r="O65" s="8">
        <v>0.4</v>
      </c>
      <c r="P65" s="8">
        <v>0</v>
      </c>
      <c r="Q65" s="8">
        <v>0</v>
      </c>
      <c r="R65" s="8">
        <v>211.8</v>
      </c>
      <c r="S65">
        <v>9</v>
      </c>
      <c r="T65" s="15">
        <v>3.25</v>
      </c>
      <c r="U65" s="16">
        <v>0.83</v>
      </c>
      <c r="V65" s="16">
        <v>2</v>
      </c>
      <c r="W65" s="16">
        <v>3.43</v>
      </c>
      <c r="X65" s="16">
        <v>3.4</v>
      </c>
      <c r="Y65" s="16">
        <v>2.75</v>
      </c>
      <c r="Z65" s="16">
        <v>3.33</v>
      </c>
      <c r="AA65" s="16">
        <v>4.33</v>
      </c>
      <c r="AB65" s="17">
        <v>20</v>
      </c>
    </row>
    <row r="66" spans="1:28">
      <c r="A66" s="6">
        <v>33</v>
      </c>
      <c r="B66" t="s">
        <v>12</v>
      </c>
      <c r="C66" t="s">
        <v>16</v>
      </c>
      <c r="D66" t="s">
        <v>16</v>
      </c>
      <c r="E66" t="s">
        <v>26</v>
      </c>
      <c r="F66">
        <v>0</v>
      </c>
      <c r="G66" t="s">
        <v>19</v>
      </c>
      <c r="H66" t="s">
        <v>230</v>
      </c>
      <c r="I66" s="9">
        <v>40.6</v>
      </c>
      <c r="J66" s="9">
        <v>14.7</v>
      </c>
      <c r="K66" s="9">
        <v>0</v>
      </c>
      <c r="L66" s="9">
        <v>2.7</v>
      </c>
      <c r="M66" s="9">
        <v>0</v>
      </c>
      <c r="N66" s="9">
        <v>0</v>
      </c>
      <c r="O66" s="9">
        <v>2.8</v>
      </c>
      <c r="P66" s="9">
        <v>0.4</v>
      </c>
      <c r="Q66" s="9">
        <v>0.8</v>
      </c>
      <c r="R66" s="9">
        <v>187</v>
      </c>
      <c r="S66">
        <v>9</v>
      </c>
      <c r="T66" s="12">
        <v>5.25</v>
      </c>
      <c r="U66" s="13">
        <v>1.33</v>
      </c>
      <c r="V66" s="13">
        <v>2.2000000000000002</v>
      </c>
      <c r="W66" s="13">
        <v>5</v>
      </c>
      <c r="X66" s="13">
        <v>5.2</v>
      </c>
      <c r="Y66" s="13">
        <v>4.75</v>
      </c>
      <c r="Z66" s="13">
        <v>4.67</v>
      </c>
      <c r="AA66" s="13">
        <v>5</v>
      </c>
      <c r="AB66" s="14">
        <v>28</v>
      </c>
    </row>
    <row r="67" spans="1:28">
      <c r="A67" s="6">
        <v>33</v>
      </c>
      <c r="B67" t="s">
        <v>7</v>
      </c>
      <c r="C67" t="s">
        <v>147</v>
      </c>
      <c r="D67" t="s">
        <v>16</v>
      </c>
      <c r="E67" t="s">
        <v>148</v>
      </c>
      <c r="F67">
        <v>0</v>
      </c>
      <c r="G67" t="s">
        <v>19</v>
      </c>
      <c r="I67" s="9">
        <v>20.5</v>
      </c>
      <c r="J67" s="9">
        <v>13</v>
      </c>
      <c r="K67" s="9">
        <v>17.2</v>
      </c>
      <c r="L67" s="9">
        <v>3.9</v>
      </c>
      <c r="M67" s="9">
        <v>0</v>
      </c>
      <c r="N67" s="9">
        <v>0</v>
      </c>
      <c r="O67" s="9">
        <v>5</v>
      </c>
      <c r="P67" s="9">
        <v>4</v>
      </c>
      <c r="Q67" s="9">
        <v>0</v>
      </c>
      <c r="R67" s="9">
        <v>259.39999999999998</v>
      </c>
      <c r="S67">
        <v>9</v>
      </c>
      <c r="T67" s="15">
        <v>5.25</v>
      </c>
      <c r="U67" s="16">
        <v>1.33</v>
      </c>
      <c r="V67" s="16">
        <v>2.2000000000000002</v>
      </c>
      <c r="W67" s="16">
        <v>5</v>
      </c>
      <c r="X67" s="16">
        <v>5.2</v>
      </c>
      <c r="Y67" s="16">
        <v>4.75</v>
      </c>
      <c r="Z67" s="16">
        <v>4.67</v>
      </c>
      <c r="AA67" s="16">
        <v>5</v>
      </c>
      <c r="AB67" s="17">
        <v>28</v>
      </c>
    </row>
    <row r="68" spans="1:28">
      <c r="A68">
        <v>34</v>
      </c>
      <c r="B68" t="s">
        <v>7</v>
      </c>
      <c r="C68" t="s">
        <v>149</v>
      </c>
      <c r="D68" t="s">
        <v>150</v>
      </c>
      <c r="E68" t="s">
        <v>151</v>
      </c>
      <c r="F68">
        <v>1</v>
      </c>
      <c r="G68" t="s">
        <v>11</v>
      </c>
      <c r="H68" t="s">
        <v>230</v>
      </c>
      <c r="I68" s="8">
        <v>39.9</v>
      </c>
      <c r="J68" s="8">
        <v>2.7</v>
      </c>
      <c r="K68" s="8">
        <v>13.8</v>
      </c>
      <c r="L68" s="8">
        <v>40.200000000000003</v>
      </c>
      <c r="M68" s="8">
        <v>0</v>
      </c>
      <c r="N68" s="8">
        <v>0</v>
      </c>
      <c r="O68" s="8">
        <v>4.5999999999999996</v>
      </c>
      <c r="P68" s="8">
        <v>4.3</v>
      </c>
      <c r="Q68" s="8">
        <v>4.8</v>
      </c>
      <c r="R68" s="8">
        <v>172.3</v>
      </c>
      <c r="S68">
        <v>7</v>
      </c>
      <c r="T68" s="12">
        <v>4</v>
      </c>
      <c r="U68" s="13">
        <v>1</v>
      </c>
      <c r="V68" s="13">
        <v>2.2000000000000002</v>
      </c>
      <c r="W68" s="13">
        <v>4</v>
      </c>
      <c r="X68" s="13">
        <v>4.5999999999999996</v>
      </c>
      <c r="Y68" s="13">
        <v>4</v>
      </c>
      <c r="Z68" s="13">
        <v>3</v>
      </c>
      <c r="AA68" s="13">
        <v>4.33</v>
      </c>
      <c r="AB68" s="14">
        <v>25</v>
      </c>
    </row>
    <row r="69" spans="1:28">
      <c r="A69">
        <v>34</v>
      </c>
      <c r="B69" t="s">
        <v>12</v>
      </c>
      <c r="C69" t="s">
        <v>152</v>
      </c>
      <c r="D69" t="s">
        <v>153</v>
      </c>
      <c r="E69" t="s">
        <v>154</v>
      </c>
      <c r="F69">
        <v>1</v>
      </c>
      <c r="G69" t="s">
        <v>11</v>
      </c>
      <c r="I69" s="8">
        <v>40.9</v>
      </c>
      <c r="J69" s="8">
        <v>17</v>
      </c>
      <c r="K69" s="8">
        <v>0.5</v>
      </c>
      <c r="L69" s="8">
        <v>43.8</v>
      </c>
      <c r="M69" s="8">
        <v>0</v>
      </c>
      <c r="N69" s="8">
        <v>0</v>
      </c>
      <c r="O69" s="8">
        <v>8.8000000000000007</v>
      </c>
      <c r="P69" s="8">
        <v>8.6999999999999993</v>
      </c>
      <c r="Q69" s="8">
        <v>1.5</v>
      </c>
      <c r="R69" s="8">
        <v>307.60000000000002</v>
      </c>
      <c r="S69">
        <v>7</v>
      </c>
      <c r="T69" s="15">
        <v>4</v>
      </c>
      <c r="U69" s="16">
        <v>1</v>
      </c>
      <c r="V69" s="16">
        <v>2.2000000000000002</v>
      </c>
      <c r="W69" s="16">
        <v>4</v>
      </c>
      <c r="X69" s="16">
        <v>4.5999999999999996</v>
      </c>
      <c r="Y69" s="16">
        <v>4</v>
      </c>
      <c r="Z69" s="16">
        <v>3</v>
      </c>
      <c r="AA69" s="16">
        <v>4.33</v>
      </c>
      <c r="AB69" s="17">
        <v>25</v>
      </c>
    </row>
    <row r="70" spans="1:28">
      <c r="A70" s="6">
        <v>35</v>
      </c>
      <c r="B70" t="s">
        <v>7</v>
      </c>
      <c r="C70" t="s">
        <v>39</v>
      </c>
      <c r="D70" t="s">
        <v>155</v>
      </c>
      <c r="E70" t="s">
        <v>156</v>
      </c>
      <c r="F70">
        <v>1</v>
      </c>
      <c r="G70" t="s">
        <v>11</v>
      </c>
      <c r="H70" t="s">
        <v>231</v>
      </c>
      <c r="I70">
        <v>35.9</v>
      </c>
      <c r="J70">
        <v>36.4</v>
      </c>
      <c r="K70">
        <v>73.400000000000006</v>
      </c>
      <c r="L70">
        <v>0</v>
      </c>
      <c r="M70">
        <v>0</v>
      </c>
      <c r="N70">
        <v>0</v>
      </c>
      <c r="O70">
        <v>21</v>
      </c>
      <c r="P70">
        <v>42.4</v>
      </c>
      <c r="Q70">
        <v>5</v>
      </c>
      <c r="R70">
        <v>474.2</v>
      </c>
      <c r="S70">
        <v>9</v>
      </c>
      <c r="T70" s="12">
        <v>3.25</v>
      </c>
      <c r="U70" s="13">
        <v>0.5</v>
      </c>
      <c r="V70" s="13">
        <v>3.6</v>
      </c>
      <c r="W70" s="13">
        <v>3.71</v>
      </c>
      <c r="X70" s="13">
        <v>4.8</v>
      </c>
      <c r="Y70" s="13">
        <v>4.5</v>
      </c>
      <c r="Z70" s="13">
        <v>2.67</v>
      </c>
      <c r="AA70" s="13">
        <v>4.33</v>
      </c>
      <c r="AB70" s="14">
        <v>21</v>
      </c>
    </row>
    <row r="71" spans="1:28">
      <c r="A71" s="6">
        <v>35</v>
      </c>
      <c r="B71" t="s">
        <v>12</v>
      </c>
      <c r="C71" t="s">
        <v>16</v>
      </c>
      <c r="D71" t="s">
        <v>16</v>
      </c>
      <c r="E71" t="s">
        <v>26</v>
      </c>
      <c r="F71">
        <v>0</v>
      </c>
      <c r="G71" t="s">
        <v>19</v>
      </c>
      <c r="I71">
        <v>56.7</v>
      </c>
      <c r="J71">
        <v>0</v>
      </c>
      <c r="K71">
        <v>0</v>
      </c>
      <c r="L71">
        <v>4</v>
      </c>
      <c r="M71">
        <v>0</v>
      </c>
      <c r="N71">
        <v>0</v>
      </c>
      <c r="O71">
        <v>0.9</v>
      </c>
      <c r="P71">
        <v>0</v>
      </c>
      <c r="Q71">
        <v>0</v>
      </c>
      <c r="R71">
        <v>477.9</v>
      </c>
      <c r="S71">
        <v>9</v>
      </c>
      <c r="T71" s="15">
        <v>3.25</v>
      </c>
      <c r="U71" s="16">
        <v>0.5</v>
      </c>
      <c r="V71" s="16">
        <v>3.6</v>
      </c>
      <c r="W71" s="16">
        <v>3.71</v>
      </c>
      <c r="X71" s="16">
        <v>4.8</v>
      </c>
      <c r="Y71" s="16">
        <v>4.5</v>
      </c>
      <c r="Z71" s="16">
        <v>2.67</v>
      </c>
      <c r="AA71" s="16">
        <v>4.33</v>
      </c>
      <c r="AB71" s="17">
        <v>21</v>
      </c>
    </row>
    <row r="72" spans="1:28">
      <c r="A72">
        <v>36</v>
      </c>
      <c r="B72" t="s">
        <v>12</v>
      </c>
      <c r="C72" t="s">
        <v>124</v>
      </c>
      <c r="D72" t="s">
        <v>124</v>
      </c>
      <c r="E72" t="s">
        <v>125</v>
      </c>
      <c r="F72">
        <v>0</v>
      </c>
      <c r="G72" t="s">
        <v>19</v>
      </c>
      <c r="H72" t="s">
        <v>231</v>
      </c>
      <c r="I72" s="8">
        <v>54.4</v>
      </c>
      <c r="J72" s="8">
        <v>11.9</v>
      </c>
      <c r="K72" s="8">
        <v>1.6</v>
      </c>
      <c r="L72" s="8">
        <v>0.7</v>
      </c>
      <c r="M72" s="8">
        <v>0</v>
      </c>
      <c r="N72" s="8">
        <v>0</v>
      </c>
      <c r="O72" s="8">
        <v>0</v>
      </c>
      <c r="P72" s="8">
        <v>0</v>
      </c>
      <c r="Q72" s="8">
        <v>0</v>
      </c>
      <c r="R72" s="8">
        <v>246.6</v>
      </c>
      <c r="S72">
        <v>8</v>
      </c>
      <c r="T72" s="12">
        <v>3.75</v>
      </c>
      <c r="U72" s="13">
        <v>1.83</v>
      </c>
      <c r="V72" s="13">
        <v>2.8</v>
      </c>
      <c r="W72" s="13">
        <v>1.71</v>
      </c>
      <c r="X72" s="13">
        <v>3.2</v>
      </c>
      <c r="Y72" s="13">
        <v>1</v>
      </c>
      <c r="Z72" s="13">
        <v>1.33</v>
      </c>
      <c r="AA72" s="13">
        <v>1.33</v>
      </c>
      <c r="AB72" s="14">
        <v>28</v>
      </c>
    </row>
    <row r="73" spans="1:28">
      <c r="A73">
        <v>36</v>
      </c>
      <c r="B73" t="s">
        <v>7</v>
      </c>
      <c r="C73" t="s">
        <v>157</v>
      </c>
      <c r="D73" t="s">
        <v>158</v>
      </c>
      <c r="E73" t="s">
        <v>159</v>
      </c>
      <c r="F73">
        <v>1</v>
      </c>
      <c r="G73" t="s">
        <v>11</v>
      </c>
      <c r="I73" s="8">
        <v>21.3</v>
      </c>
      <c r="J73" s="8">
        <v>68</v>
      </c>
      <c r="K73" s="8">
        <v>68.5</v>
      </c>
      <c r="L73" s="8">
        <v>0</v>
      </c>
      <c r="M73" s="8">
        <v>0</v>
      </c>
      <c r="N73" s="8">
        <v>0</v>
      </c>
      <c r="O73" s="8">
        <v>36.5</v>
      </c>
      <c r="P73" s="8">
        <v>49.2</v>
      </c>
      <c r="Q73" s="8">
        <v>39</v>
      </c>
      <c r="R73" s="8">
        <v>179</v>
      </c>
      <c r="S73">
        <v>8</v>
      </c>
      <c r="T73" s="15">
        <v>3.75</v>
      </c>
      <c r="U73" s="16">
        <v>1.83</v>
      </c>
      <c r="V73" s="16">
        <v>2.8</v>
      </c>
      <c r="W73" s="16">
        <v>1.71</v>
      </c>
      <c r="X73" s="16">
        <v>3.2</v>
      </c>
      <c r="Y73" s="16">
        <v>1</v>
      </c>
      <c r="Z73" s="16">
        <v>1.33</v>
      </c>
      <c r="AA73" s="16">
        <v>1.33</v>
      </c>
      <c r="AB73" s="17">
        <v>28</v>
      </c>
    </row>
    <row r="74" spans="1:28">
      <c r="A74" s="6">
        <v>37</v>
      </c>
      <c r="B74" t="s">
        <v>7</v>
      </c>
      <c r="C74" t="s">
        <v>160</v>
      </c>
      <c r="D74" t="s">
        <v>161</v>
      </c>
      <c r="E74" t="s">
        <v>162</v>
      </c>
      <c r="F74">
        <v>1</v>
      </c>
      <c r="G74" t="s">
        <v>11</v>
      </c>
      <c r="H74" t="s">
        <v>231</v>
      </c>
      <c r="I74">
        <v>19.2</v>
      </c>
      <c r="J74">
        <v>17.3</v>
      </c>
      <c r="K74">
        <v>46.8</v>
      </c>
      <c r="L74">
        <v>21.4</v>
      </c>
      <c r="M74">
        <v>15.3</v>
      </c>
      <c r="N74">
        <v>19.7</v>
      </c>
      <c r="O74">
        <v>18.899999999999999</v>
      </c>
      <c r="P74">
        <v>25.5</v>
      </c>
      <c r="Q74">
        <v>21.8</v>
      </c>
      <c r="R74">
        <v>175.2</v>
      </c>
      <c r="S74">
        <v>11</v>
      </c>
      <c r="T74" s="12">
        <v>4.5</v>
      </c>
      <c r="U74" s="13">
        <v>0.17</v>
      </c>
      <c r="V74" s="13">
        <v>2.8</v>
      </c>
      <c r="W74" s="13">
        <v>3.86</v>
      </c>
      <c r="X74" s="13">
        <v>4.8</v>
      </c>
      <c r="Y74" s="13">
        <v>3.5</v>
      </c>
      <c r="Z74" s="13">
        <v>4</v>
      </c>
      <c r="AA74" s="13">
        <v>5</v>
      </c>
      <c r="AB74" s="14">
        <v>21</v>
      </c>
    </row>
    <row r="75" spans="1:28">
      <c r="A75" s="6">
        <v>37</v>
      </c>
      <c r="B75" t="s">
        <v>12</v>
      </c>
      <c r="C75" t="s">
        <v>163</v>
      </c>
      <c r="D75" t="s">
        <v>163</v>
      </c>
      <c r="E75" t="s">
        <v>164</v>
      </c>
      <c r="F75">
        <v>0</v>
      </c>
      <c r="G75" t="s">
        <v>19</v>
      </c>
      <c r="I75">
        <v>52</v>
      </c>
      <c r="J75">
        <v>0</v>
      </c>
      <c r="K75">
        <v>2.7</v>
      </c>
      <c r="L75">
        <v>0</v>
      </c>
      <c r="M75">
        <v>0</v>
      </c>
      <c r="N75">
        <v>0</v>
      </c>
      <c r="O75">
        <v>4.5999999999999996</v>
      </c>
      <c r="P75">
        <v>0.7</v>
      </c>
      <c r="Q75">
        <v>0</v>
      </c>
      <c r="R75">
        <v>278.8</v>
      </c>
      <c r="S75">
        <v>11</v>
      </c>
      <c r="T75" s="15">
        <v>4.5</v>
      </c>
      <c r="U75" s="16">
        <v>0.17</v>
      </c>
      <c r="V75" s="16">
        <v>2.8</v>
      </c>
      <c r="W75" s="16">
        <v>3.86</v>
      </c>
      <c r="X75" s="16">
        <v>4.8</v>
      </c>
      <c r="Y75" s="16">
        <v>3.5</v>
      </c>
      <c r="Z75" s="16">
        <v>4</v>
      </c>
      <c r="AA75" s="16">
        <v>5</v>
      </c>
      <c r="AB75" s="17">
        <v>21</v>
      </c>
    </row>
    <row r="76" spans="1:28">
      <c r="A76">
        <v>38</v>
      </c>
      <c r="B76" t="s">
        <v>12</v>
      </c>
      <c r="C76" t="s">
        <v>53</v>
      </c>
      <c r="D76" t="s">
        <v>53</v>
      </c>
      <c r="E76" t="s">
        <v>54</v>
      </c>
      <c r="F76">
        <v>0</v>
      </c>
      <c r="G76" t="s">
        <v>19</v>
      </c>
      <c r="H76" t="s">
        <v>231</v>
      </c>
      <c r="I76" s="8">
        <v>7.5</v>
      </c>
      <c r="J76" s="8">
        <v>2.4</v>
      </c>
      <c r="K76" s="8">
        <v>2.2999999999999998</v>
      </c>
      <c r="L76" s="8">
        <v>0</v>
      </c>
      <c r="M76" s="8">
        <v>0</v>
      </c>
      <c r="N76" s="8">
        <v>0</v>
      </c>
      <c r="O76" s="8">
        <v>8.8000000000000007</v>
      </c>
      <c r="P76" s="8">
        <v>2.1</v>
      </c>
      <c r="Q76" s="8">
        <v>1.6</v>
      </c>
      <c r="R76" s="8">
        <v>258.7</v>
      </c>
      <c r="S76">
        <v>8</v>
      </c>
      <c r="T76" s="12">
        <v>5</v>
      </c>
      <c r="U76" s="13">
        <v>0.83</v>
      </c>
      <c r="V76" s="13">
        <v>2.4</v>
      </c>
      <c r="W76" s="13">
        <v>3.29</v>
      </c>
      <c r="X76" s="13">
        <v>4.5999999999999996</v>
      </c>
      <c r="Y76" s="13">
        <v>3.5</v>
      </c>
      <c r="Z76" s="13">
        <v>3</v>
      </c>
      <c r="AA76" s="13">
        <v>4.67</v>
      </c>
      <c r="AB76" s="14">
        <v>21</v>
      </c>
    </row>
    <row r="77" spans="1:28">
      <c r="A77">
        <v>38</v>
      </c>
      <c r="B77" t="s">
        <v>7</v>
      </c>
      <c r="C77" t="s">
        <v>165</v>
      </c>
      <c r="D77" t="s">
        <v>166</v>
      </c>
      <c r="E77" t="s">
        <v>167</v>
      </c>
      <c r="F77">
        <v>1</v>
      </c>
      <c r="G77" t="s">
        <v>11</v>
      </c>
      <c r="I77" s="8">
        <v>14.1</v>
      </c>
      <c r="J77" s="8">
        <v>0</v>
      </c>
      <c r="K77" s="8">
        <v>0</v>
      </c>
      <c r="L77" s="8">
        <v>7.1</v>
      </c>
      <c r="M77" s="8">
        <v>14.3</v>
      </c>
      <c r="N77" s="8">
        <v>0</v>
      </c>
      <c r="O77" s="8">
        <v>8.4</v>
      </c>
      <c r="P77" s="8">
        <v>1.1000000000000001</v>
      </c>
      <c r="Q77" s="8">
        <v>0.5</v>
      </c>
      <c r="R77" s="8">
        <v>128.69999999999999</v>
      </c>
      <c r="S77">
        <v>8</v>
      </c>
      <c r="T77" s="15">
        <v>5</v>
      </c>
      <c r="U77" s="16">
        <v>0.83</v>
      </c>
      <c r="V77" s="16">
        <v>2.4</v>
      </c>
      <c r="W77" s="16">
        <v>3.29</v>
      </c>
      <c r="X77" s="16">
        <v>4.5999999999999996</v>
      </c>
      <c r="Y77" s="16">
        <v>3.5</v>
      </c>
      <c r="Z77" s="16">
        <v>3</v>
      </c>
      <c r="AA77" s="16">
        <v>4.67</v>
      </c>
      <c r="AB77" s="17">
        <v>21</v>
      </c>
    </row>
    <row r="78" spans="1:28">
      <c r="A78" s="6">
        <v>39</v>
      </c>
      <c r="B78" t="s">
        <v>7</v>
      </c>
      <c r="C78" t="s">
        <v>168</v>
      </c>
      <c r="D78" t="s">
        <v>169</v>
      </c>
      <c r="E78" t="s">
        <v>170</v>
      </c>
      <c r="F78">
        <v>1</v>
      </c>
      <c r="G78" t="s">
        <v>11</v>
      </c>
      <c r="H78" t="s">
        <v>231</v>
      </c>
      <c r="I78">
        <v>69.7</v>
      </c>
      <c r="J78">
        <v>33.9</v>
      </c>
      <c r="K78">
        <v>52.5</v>
      </c>
      <c r="L78">
        <v>0</v>
      </c>
      <c r="M78">
        <v>0</v>
      </c>
      <c r="N78">
        <v>0</v>
      </c>
      <c r="O78">
        <v>19.7</v>
      </c>
      <c r="P78">
        <v>19</v>
      </c>
      <c r="Q78">
        <v>4.5999999999999996</v>
      </c>
      <c r="R78">
        <v>200.4</v>
      </c>
      <c r="S78">
        <v>10</v>
      </c>
      <c r="T78" s="12">
        <v>4.75</v>
      </c>
      <c r="U78" s="13">
        <v>1.67</v>
      </c>
      <c r="V78" s="13">
        <v>2.6</v>
      </c>
      <c r="W78" s="13">
        <v>2.57</v>
      </c>
      <c r="X78" s="13">
        <v>4</v>
      </c>
      <c r="Y78" s="13">
        <v>3</v>
      </c>
      <c r="Z78" s="13">
        <v>2.67</v>
      </c>
      <c r="AA78" s="13">
        <v>4.33</v>
      </c>
      <c r="AB78" s="14">
        <v>12</v>
      </c>
    </row>
    <row r="79" spans="1:28">
      <c r="A79" s="6">
        <v>39</v>
      </c>
      <c r="B79" t="s">
        <v>12</v>
      </c>
      <c r="C79" t="s">
        <v>16</v>
      </c>
      <c r="D79" t="s">
        <v>70</v>
      </c>
      <c r="E79" t="s">
        <v>171</v>
      </c>
      <c r="F79">
        <v>0</v>
      </c>
      <c r="G79" t="s">
        <v>19</v>
      </c>
      <c r="I79">
        <v>39.700000000000003</v>
      </c>
      <c r="J79">
        <v>5.4</v>
      </c>
      <c r="K79">
        <v>0</v>
      </c>
      <c r="L79">
        <v>0</v>
      </c>
      <c r="M79">
        <v>0</v>
      </c>
      <c r="N79">
        <v>0</v>
      </c>
      <c r="O79">
        <v>0</v>
      </c>
      <c r="P79">
        <v>0</v>
      </c>
      <c r="Q79">
        <v>0</v>
      </c>
      <c r="R79">
        <v>195.7</v>
      </c>
      <c r="S79">
        <v>10</v>
      </c>
      <c r="T79" s="15">
        <v>4.75</v>
      </c>
      <c r="U79" s="16">
        <v>1.67</v>
      </c>
      <c r="V79" s="16">
        <v>2.6</v>
      </c>
      <c r="W79" s="16">
        <v>2.57</v>
      </c>
      <c r="X79" s="16">
        <v>4</v>
      </c>
      <c r="Y79" s="16">
        <v>3</v>
      </c>
      <c r="Z79" s="16">
        <v>2.67</v>
      </c>
      <c r="AA79" s="16">
        <v>4.33</v>
      </c>
      <c r="AB79" s="17">
        <v>12</v>
      </c>
    </row>
    <row r="80" spans="1:28">
      <c r="A80">
        <v>40</v>
      </c>
      <c r="B80" t="s">
        <v>12</v>
      </c>
      <c r="C80" t="s">
        <v>172</v>
      </c>
      <c r="D80" t="s">
        <v>16</v>
      </c>
      <c r="E80" t="s">
        <v>173</v>
      </c>
      <c r="F80">
        <v>0</v>
      </c>
      <c r="G80" t="s">
        <v>19</v>
      </c>
      <c r="H80" t="s">
        <v>231</v>
      </c>
      <c r="I80" s="8">
        <v>0</v>
      </c>
      <c r="J80" s="8">
        <v>0</v>
      </c>
      <c r="K80" s="8">
        <v>16.8</v>
      </c>
      <c r="L80" s="8">
        <v>0</v>
      </c>
      <c r="M80" s="8">
        <v>0</v>
      </c>
      <c r="N80" s="8">
        <v>0</v>
      </c>
      <c r="O80" s="8">
        <v>10.3</v>
      </c>
      <c r="P80" s="8">
        <v>5</v>
      </c>
      <c r="Q80" s="8">
        <v>5.5</v>
      </c>
      <c r="R80" s="8">
        <v>243.3</v>
      </c>
      <c r="S80">
        <v>10</v>
      </c>
      <c r="T80" s="12">
        <v>5</v>
      </c>
      <c r="U80" s="13">
        <v>2.67</v>
      </c>
      <c r="V80" s="13">
        <v>2.2000000000000002</v>
      </c>
      <c r="W80" s="13">
        <v>3.71</v>
      </c>
      <c r="X80" s="13">
        <v>5.6</v>
      </c>
      <c r="Y80" s="13">
        <v>3.25</v>
      </c>
      <c r="Z80" s="13">
        <v>4.33</v>
      </c>
      <c r="AA80" s="13">
        <v>3.67</v>
      </c>
      <c r="AB80" s="14">
        <v>15</v>
      </c>
    </row>
    <row r="81" spans="1:28">
      <c r="A81">
        <v>40</v>
      </c>
      <c r="B81" t="s">
        <v>7</v>
      </c>
      <c r="C81" t="s">
        <v>174</v>
      </c>
      <c r="D81" t="s">
        <v>175</v>
      </c>
      <c r="E81" t="s">
        <v>176</v>
      </c>
      <c r="F81">
        <v>1</v>
      </c>
      <c r="G81" t="s">
        <v>11</v>
      </c>
      <c r="I81" s="8">
        <v>89.9</v>
      </c>
      <c r="J81" s="8">
        <v>77.5</v>
      </c>
      <c r="K81" s="8">
        <v>60.5</v>
      </c>
      <c r="L81" s="8">
        <v>0</v>
      </c>
      <c r="M81" s="8">
        <v>0</v>
      </c>
      <c r="N81" s="8">
        <v>0</v>
      </c>
      <c r="O81" s="8">
        <v>25.3</v>
      </c>
      <c r="P81" s="8">
        <v>29.1</v>
      </c>
      <c r="Q81" s="8">
        <v>2.9</v>
      </c>
      <c r="R81" s="8">
        <v>37.5</v>
      </c>
      <c r="S81">
        <v>10</v>
      </c>
      <c r="T81" s="15">
        <v>5</v>
      </c>
      <c r="U81" s="16">
        <v>2.67</v>
      </c>
      <c r="V81" s="16">
        <v>2.2000000000000002</v>
      </c>
      <c r="W81" s="16">
        <v>3.71</v>
      </c>
      <c r="X81" s="16">
        <v>5.6</v>
      </c>
      <c r="Y81" s="16">
        <v>3.25</v>
      </c>
      <c r="Z81" s="16">
        <v>4.33</v>
      </c>
      <c r="AA81" s="16">
        <v>3.67</v>
      </c>
      <c r="AB81" s="17">
        <v>15</v>
      </c>
    </row>
    <row r="82" spans="1:28">
      <c r="A82" s="6">
        <v>41</v>
      </c>
      <c r="B82" t="s">
        <v>7</v>
      </c>
      <c r="C82" t="s">
        <v>124</v>
      </c>
      <c r="D82" t="s">
        <v>177</v>
      </c>
      <c r="E82" t="s">
        <v>178</v>
      </c>
      <c r="F82">
        <v>1</v>
      </c>
      <c r="G82" t="s">
        <v>11</v>
      </c>
      <c r="H82" t="s">
        <v>231</v>
      </c>
      <c r="I82" s="9">
        <v>56.8</v>
      </c>
      <c r="J82" s="9">
        <v>16.399999999999999</v>
      </c>
      <c r="K82" s="9">
        <v>56.8</v>
      </c>
      <c r="L82" s="9">
        <v>1.5</v>
      </c>
      <c r="M82" s="9">
        <v>20.399999999999999</v>
      </c>
      <c r="N82" s="9">
        <v>0.8</v>
      </c>
      <c r="O82" s="9">
        <v>0</v>
      </c>
      <c r="P82" s="9">
        <v>0</v>
      </c>
      <c r="Q82" s="9">
        <v>0</v>
      </c>
      <c r="R82" s="9">
        <v>288.89999999999998</v>
      </c>
      <c r="S82">
        <v>9</v>
      </c>
      <c r="T82" s="12">
        <v>4.5</v>
      </c>
      <c r="U82" s="13">
        <v>1.17</v>
      </c>
      <c r="V82" s="13">
        <v>1.8</v>
      </c>
      <c r="W82" s="13">
        <v>3.86</v>
      </c>
      <c r="X82" s="13">
        <v>5.4</v>
      </c>
      <c r="Y82" s="13">
        <v>4.25</v>
      </c>
      <c r="Z82" s="13">
        <v>5.33</v>
      </c>
      <c r="AA82" s="13">
        <v>2.67</v>
      </c>
      <c r="AB82" s="14">
        <v>20</v>
      </c>
    </row>
    <row r="83" spans="1:28">
      <c r="A83" s="6">
        <v>41</v>
      </c>
      <c r="B83" t="s">
        <v>12</v>
      </c>
      <c r="C83" t="s">
        <v>124</v>
      </c>
      <c r="D83" t="s">
        <v>124</v>
      </c>
      <c r="E83" t="s">
        <v>125</v>
      </c>
      <c r="F83">
        <v>0</v>
      </c>
      <c r="G83" t="s">
        <v>19</v>
      </c>
      <c r="I83" s="9">
        <v>51.3</v>
      </c>
      <c r="J83" s="9">
        <v>36.200000000000003</v>
      </c>
      <c r="K83" s="9">
        <v>31.1</v>
      </c>
      <c r="L83" s="9">
        <v>0</v>
      </c>
      <c r="M83" s="9">
        <v>0</v>
      </c>
      <c r="N83" s="9">
        <v>0</v>
      </c>
      <c r="O83" s="9">
        <v>0</v>
      </c>
      <c r="P83" s="9">
        <v>0</v>
      </c>
      <c r="Q83" s="9">
        <v>0</v>
      </c>
      <c r="R83" s="9">
        <v>233.9</v>
      </c>
      <c r="S83">
        <v>9</v>
      </c>
      <c r="T83" s="15">
        <v>4.5</v>
      </c>
      <c r="U83" s="16">
        <v>1.17</v>
      </c>
      <c r="V83" s="16">
        <v>1.8</v>
      </c>
      <c r="W83" s="16">
        <v>3.86</v>
      </c>
      <c r="X83" s="16">
        <v>5.4</v>
      </c>
      <c r="Y83" s="16">
        <v>4.25</v>
      </c>
      <c r="Z83" s="16">
        <v>5.33</v>
      </c>
      <c r="AA83" s="16">
        <v>2.67</v>
      </c>
      <c r="AB83" s="17">
        <v>20</v>
      </c>
    </row>
    <row r="84" spans="1:28">
      <c r="A84">
        <v>42</v>
      </c>
      <c r="B84" t="s">
        <v>12</v>
      </c>
      <c r="C84" t="s">
        <v>53</v>
      </c>
      <c r="D84" t="s">
        <v>179</v>
      </c>
      <c r="E84" t="s">
        <v>180</v>
      </c>
      <c r="F84">
        <v>1</v>
      </c>
      <c r="G84" t="s">
        <v>11</v>
      </c>
      <c r="H84" t="s">
        <v>230</v>
      </c>
      <c r="I84" s="8">
        <v>74.099999999999994</v>
      </c>
      <c r="J84" s="8">
        <v>50.9</v>
      </c>
      <c r="K84" s="8">
        <v>60.3</v>
      </c>
      <c r="L84" s="8">
        <v>0</v>
      </c>
      <c r="M84" s="8">
        <v>0</v>
      </c>
      <c r="N84" s="8">
        <v>0</v>
      </c>
      <c r="O84" s="8">
        <v>7.6</v>
      </c>
      <c r="P84" s="8">
        <v>14.9</v>
      </c>
      <c r="Q84" s="8">
        <v>0</v>
      </c>
      <c r="R84" s="8">
        <v>158.80000000000001</v>
      </c>
      <c r="S84">
        <v>8</v>
      </c>
      <c r="T84" s="12">
        <v>4.25</v>
      </c>
      <c r="U84" s="13">
        <v>1.17</v>
      </c>
      <c r="V84" s="13">
        <v>1.8</v>
      </c>
      <c r="W84" s="13">
        <v>3.43</v>
      </c>
      <c r="X84" s="13">
        <v>4</v>
      </c>
      <c r="Y84" s="13">
        <v>3</v>
      </c>
      <c r="Z84" s="13">
        <v>2.67</v>
      </c>
      <c r="AA84" s="13">
        <v>2.67</v>
      </c>
      <c r="AB84" s="14">
        <v>13</v>
      </c>
    </row>
    <row r="85" spans="1:28">
      <c r="A85">
        <v>42</v>
      </c>
      <c r="B85" t="s">
        <v>7</v>
      </c>
      <c r="C85" t="s">
        <v>53</v>
      </c>
      <c r="D85" t="s">
        <v>181</v>
      </c>
      <c r="E85" t="s">
        <v>182</v>
      </c>
      <c r="F85">
        <v>1</v>
      </c>
      <c r="G85" t="s">
        <v>11</v>
      </c>
      <c r="I85" s="8">
        <v>77.5</v>
      </c>
      <c r="J85" s="8">
        <v>67.3</v>
      </c>
      <c r="K85" s="8">
        <v>68.400000000000006</v>
      </c>
      <c r="L85" s="8">
        <v>0</v>
      </c>
      <c r="M85" s="8">
        <v>0</v>
      </c>
      <c r="N85" s="8">
        <v>0</v>
      </c>
      <c r="O85" s="8">
        <v>34.299999999999997</v>
      </c>
      <c r="P85" s="8">
        <v>39.299999999999997</v>
      </c>
      <c r="Q85" s="8">
        <v>0</v>
      </c>
      <c r="R85" s="8">
        <v>205.8</v>
      </c>
      <c r="S85">
        <v>8</v>
      </c>
      <c r="T85" s="15">
        <v>4.25</v>
      </c>
      <c r="U85" s="16">
        <v>1.17</v>
      </c>
      <c r="V85" s="16">
        <v>1.8</v>
      </c>
      <c r="W85" s="16">
        <v>3.43</v>
      </c>
      <c r="X85" s="16">
        <v>4</v>
      </c>
      <c r="Y85" s="16">
        <v>3</v>
      </c>
      <c r="Z85" s="16">
        <v>2.67</v>
      </c>
      <c r="AA85" s="16">
        <v>2.67</v>
      </c>
      <c r="AB85" s="17">
        <v>13</v>
      </c>
    </row>
    <row r="86" spans="1:28">
      <c r="A86" s="6">
        <v>43</v>
      </c>
      <c r="B86" t="s">
        <v>7</v>
      </c>
      <c r="C86" t="s">
        <v>183</v>
      </c>
      <c r="D86" t="s">
        <v>184</v>
      </c>
      <c r="E86" t="s">
        <v>185</v>
      </c>
      <c r="F86">
        <v>1</v>
      </c>
      <c r="G86" t="s">
        <v>11</v>
      </c>
      <c r="H86" t="s">
        <v>231</v>
      </c>
      <c r="I86">
        <v>16.3</v>
      </c>
      <c r="J86">
        <v>10</v>
      </c>
      <c r="K86">
        <v>20.100000000000001</v>
      </c>
      <c r="L86">
        <v>0</v>
      </c>
      <c r="M86">
        <v>0</v>
      </c>
      <c r="N86">
        <v>0.7</v>
      </c>
      <c r="O86">
        <v>12.3</v>
      </c>
      <c r="P86">
        <v>68.900000000000006</v>
      </c>
      <c r="Q86">
        <v>0</v>
      </c>
      <c r="R86">
        <v>336.1</v>
      </c>
      <c r="S86">
        <v>10</v>
      </c>
      <c r="T86" s="12">
        <v>6</v>
      </c>
      <c r="U86" s="13">
        <v>3.33</v>
      </c>
      <c r="V86" s="13">
        <v>3</v>
      </c>
      <c r="W86" s="13">
        <v>5.29</v>
      </c>
      <c r="X86" s="13">
        <v>5</v>
      </c>
      <c r="Y86" s="13">
        <v>5.25</v>
      </c>
      <c r="Z86" s="13">
        <v>5</v>
      </c>
      <c r="AA86" s="13">
        <v>6</v>
      </c>
      <c r="AB86" s="14">
        <v>22</v>
      </c>
    </row>
    <row r="87" spans="1:28">
      <c r="A87" s="6">
        <v>43</v>
      </c>
      <c r="B87" t="s">
        <v>12</v>
      </c>
      <c r="C87" t="s">
        <v>186</v>
      </c>
      <c r="D87" t="s">
        <v>16</v>
      </c>
      <c r="E87" t="s">
        <v>187</v>
      </c>
      <c r="F87">
        <v>0</v>
      </c>
      <c r="G87" t="s">
        <v>19</v>
      </c>
      <c r="I87">
        <v>4.8</v>
      </c>
      <c r="J87">
        <v>4.3</v>
      </c>
      <c r="K87">
        <v>0</v>
      </c>
      <c r="L87">
        <v>0</v>
      </c>
      <c r="M87">
        <v>0</v>
      </c>
      <c r="N87">
        <v>0.3</v>
      </c>
      <c r="O87">
        <v>9.5</v>
      </c>
      <c r="P87">
        <v>0.5</v>
      </c>
      <c r="Q87">
        <v>0.3</v>
      </c>
      <c r="R87">
        <v>500</v>
      </c>
      <c r="S87">
        <v>10</v>
      </c>
      <c r="T87" s="15">
        <v>6</v>
      </c>
      <c r="U87" s="16">
        <v>3.33</v>
      </c>
      <c r="V87" s="16">
        <v>3</v>
      </c>
      <c r="W87" s="16">
        <v>5.29</v>
      </c>
      <c r="X87" s="16">
        <v>5</v>
      </c>
      <c r="Y87" s="16">
        <v>5.25</v>
      </c>
      <c r="Z87" s="16">
        <v>5</v>
      </c>
      <c r="AA87" s="16">
        <v>6</v>
      </c>
      <c r="AB87" s="17">
        <v>22</v>
      </c>
    </row>
    <row r="88" spans="1:28">
      <c r="A88">
        <v>44</v>
      </c>
      <c r="B88" t="s">
        <v>12</v>
      </c>
      <c r="C88" t="s">
        <v>124</v>
      </c>
      <c r="D88" t="s">
        <v>188</v>
      </c>
      <c r="E88" t="s">
        <v>189</v>
      </c>
      <c r="F88">
        <v>0</v>
      </c>
      <c r="G88" t="s">
        <v>19</v>
      </c>
      <c r="H88" t="s">
        <v>231</v>
      </c>
      <c r="I88" s="9">
        <v>72.8</v>
      </c>
      <c r="J88" s="9">
        <v>9.5</v>
      </c>
      <c r="K88" s="9">
        <v>2.7</v>
      </c>
      <c r="L88" s="9">
        <v>0.5</v>
      </c>
      <c r="M88" s="9">
        <v>1.1000000000000001</v>
      </c>
      <c r="N88" s="9">
        <v>1.5</v>
      </c>
      <c r="O88" s="9">
        <v>1.1000000000000001</v>
      </c>
      <c r="P88" s="9">
        <v>0.4</v>
      </c>
      <c r="Q88" s="9">
        <v>0.9</v>
      </c>
      <c r="R88" s="9">
        <v>194.4</v>
      </c>
      <c r="S88">
        <v>9</v>
      </c>
      <c r="T88" s="12">
        <v>3.5</v>
      </c>
      <c r="U88" s="13">
        <v>1</v>
      </c>
      <c r="V88" s="13">
        <v>4.2</v>
      </c>
      <c r="W88" s="13">
        <v>4.57</v>
      </c>
      <c r="X88" s="13">
        <v>3.4</v>
      </c>
      <c r="Y88" s="13">
        <v>4.25</v>
      </c>
      <c r="Z88" s="13">
        <v>2.33</v>
      </c>
      <c r="AA88" s="13">
        <v>4</v>
      </c>
      <c r="AB88" s="14">
        <v>20</v>
      </c>
    </row>
    <row r="89" spans="1:28">
      <c r="A89">
        <v>44</v>
      </c>
      <c r="B89" t="s">
        <v>7</v>
      </c>
      <c r="C89" t="s">
        <v>124</v>
      </c>
      <c r="D89" t="s">
        <v>190</v>
      </c>
      <c r="E89" t="s">
        <v>191</v>
      </c>
      <c r="F89">
        <v>1</v>
      </c>
      <c r="G89" t="s">
        <v>11</v>
      </c>
      <c r="I89" s="9">
        <v>86.9</v>
      </c>
      <c r="J89" s="9">
        <v>48.4</v>
      </c>
      <c r="K89" s="9">
        <v>29.5</v>
      </c>
      <c r="L89" s="9">
        <v>0</v>
      </c>
      <c r="M89" s="9">
        <v>0</v>
      </c>
      <c r="N89" s="9">
        <v>0</v>
      </c>
      <c r="O89" s="9">
        <v>3.5</v>
      </c>
      <c r="P89" s="9">
        <v>1.2</v>
      </c>
      <c r="Q89" s="9">
        <v>0</v>
      </c>
      <c r="R89" s="9">
        <v>144.80000000000001</v>
      </c>
      <c r="S89">
        <v>9</v>
      </c>
      <c r="T89" s="15">
        <v>3.5</v>
      </c>
      <c r="U89" s="16">
        <v>1</v>
      </c>
      <c r="V89" s="16">
        <v>4.2</v>
      </c>
      <c r="W89" s="16">
        <v>4.57</v>
      </c>
      <c r="X89" s="16">
        <v>3.4</v>
      </c>
      <c r="Y89" s="16">
        <v>4.25</v>
      </c>
      <c r="Z89" s="16">
        <v>2.33</v>
      </c>
      <c r="AA89" s="16">
        <v>4</v>
      </c>
      <c r="AB89" s="17">
        <v>20</v>
      </c>
    </row>
    <row r="90" spans="1:28">
      <c r="A90" s="6">
        <v>45</v>
      </c>
      <c r="B90" t="s">
        <v>7</v>
      </c>
      <c r="C90" t="s">
        <v>192</v>
      </c>
      <c r="D90" t="s">
        <v>193</v>
      </c>
      <c r="E90" t="s">
        <v>194</v>
      </c>
      <c r="F90">
        <v>1</v>
      </c>
      <c r="G90" t="s">
        <v>11</v>
      </c>
      <c r="H90" t="s">
        <v>231</v>
      </c>
      <c r="I90">
        <v>30.7</v>
      </c>
      <c r="J90">
        <v>16.5</v>
      </c>
      <c r="K90">
        <v>36.6</v>
      </c>
      <c r="L90">
        <v>0.3</v>
      </c>
      <c r="M90">
        <v>19.399999999999999</v>
      </c>
      <c r="N90">
        <v>0</v>
      </c>
      <c r="O90">
        <v>46.6</v>
      </c>
      <c r="P90">
        <v>65.3</v>
      </c>
      <c r="Q90">
        <v>0.1</v>
      </c>
      <c r="R90">
        <v>177.6</v>
      </c>
      <c r="S90">
        <v>5</v>
      </c>
      <c r="T90" s="12">
        <v>4</v>
      </c>
      <c r="U90" s="13">
        <v>1.67</v>
      </c>
      <c r="V90" s="13">
        <v>3.8</v>
      </c>
      <c r="W90" s="13">
        <v>3.57</v>
      </c>
      <c r="X90" s="13">
        <v>2</v>
      </c>
      <c r="Y90" s="13">
        <v>4</v>
      </c>
      <c r="Z90" s="13">
        <v>2.33</v>
      </c>
      <c r="AA90" s="13">
        <v>3.33</v>
      </c>
      <c r="AB90" s="14">
        <v>12</v>
      </c>
    </row>
    <row r="91" spans="1:28">
      <c r="A91" s="6">
        <v>45</v>
      </c>
      <c r="B91" t="s">
        <v>12</v>
      </c>
      <c r="C91" t="s">
        <v>48</v>
      </c>
      <c r="D91" t="s">
        <v>48</v>
      </c>
      <c r="E91" t="s">
        <v>195</v>
      </c>
      <c r="F91">
        <v>0</v>
      </c>
      <c r="G91" t="s">
        <v>19</v>
      </c>
      <c r="I91">
        <v>82.4</v>
      </c>
      <c r="J91">
        <v>0</v>
      </c>
      <c r="K91">
        <v>0</v>
      </c>
      <c r="L91">
        <v>0</v>
      </c>
      <c r="M91">
        <v>0</v>
      </c>
      <c r="N91">
        <v>0</v>
      </c>
      <c r="O91">
        <v>0</v>
      </c>
      <c r="P91">
        <v>0</v>
      </c>
      <c r="Q91">
        <v>0</v>
      </c>
      <c r="R91">
        <v>180.3</v>
      </c>
      <c r="S91">
        <v>5</v>
      </c>
      <c r="T91" s="15">
        <v>4</v>
      </c>
      <c r="U91" s="16">
        <v>1.67</v>
      </c>
      <c r="V91" s="16">
        <v>3.8</v>
      </c>
      <c r="W91" s="16">
        <v>3.57</v>
      </c>
      <c r="X91" s="16">
        <v>2</v>
      </c>
      <c r="Y91" s="16">
        <v>4</v>
      </c>
      <c r="Z91" s="16">
        <v>2.33</v>
      </c>
      <c r="AA91" s="16">
        <v>3.33</v>
      </c>
      <c r="AB91" s="17">
        <v>12</v>
      </c>
    </row>
    <row r="92" spans="1:28">
      <c r="A92">
        <v>46</v>
      </c>
      <c r="B92" t="s">
        <v>12</v>
      </c>
      <c r="C92" t="s">
        <v>196</v>
      </c>
      <c r="D92" t="s">
        <v>16</v>
      </c>
      <c r="E92" t="s">
        <v>197</v>
      </c>
      <c r="F92">
        <v>0</v>
      </c>
      <c r="G92" t="s">
        <v>19</v>
      </c>
      <c r="H92" t="s">
        <v>231</v>
      </c>
      <c r="I92" s="8">
        <v>46.5</v>
      </c>
      <c r="J92" s="8">
        <v>3.1</v>
      </c>
      <c r="K92" s="8">
        <v>0</v>
      </c>
      <c r="L92" s="8">
        <v>0</v>
      </c>
      <c r="M92" s="8">
        <v>0</v>
      </c>
      <c r="N92" s="8">
        <v>0</v>
      </c>
      <c r="O92" s="8">
        <v>0</v>
      </c>
      <c r="P92" s="8">
        <v>0</v>
      </c>
      <c r="Q92" s="8">
        <v>0</v>
      </c>
      <c r="R92" s="8">
        <v>247.3</v>
      </c>
      <c r="S92">
        <v>11</v>
      </c>
      <c r="T92" s="12">
        <v>4</v>
      </c>
      <c r="U92" s="13">
        <v>1.67</v>
      </c>
      <c r="V92" s="13">
        <v>3.4</v>
      </c>
      <c r="W92" s="13">
        <v>3.57</v>
      </c>
      <c r="X92" s="13">
        <v>4</v>
      </c>
      <c r="Y92" s="13">
        <v>3.25</v>
      </c>
      <c r="Z92" s="13">
        <v>2.33</v>
      </c>
      <c r="AA92" s="13">
        <v>4.33</v>
      </c>
      <c r="AB92" s="14">
        <v>14</v>
      </c>
    </row>
    <row r="93" spans="1:28">
      <c r="A93">
        <v>46</v>
      </c>
      <c r="B93" t="s">
        <v>7</v>
      </c>
      <c r="C93" t="s">
        <v>198</v>
      </c>
      <c r="D93" t="s">
        <v>199</v>
      </c>
      <c r="E93" t="s">
        <v>200</v>
      </c>
      <c r="F93">
        <v>1</v>
      </c>
      <c r="G93" t="s">
        <v>11</v>
      </c>
      <c r="I93" s="8">
        <v>23.9</v>
      </c>
      <c r="J93" s="8">
        <v>24</v>
      </c>
      <c r="K93" s="8">
        <v>30.6</v>
      </c>
      <c r="L93" s="8">
        <v>0</v>
      </c>
      <c r="M93" s="8">
        <v>0</v>
      </c>
      <c r="N93" s="8">
        <v>0</v>
      </c>
      <c r="O93" s="8">
        <v>24.3</v>
      </c>
      <c r="P93" s="8">
        <v>24.9</v>
      </c>
      <c r="Q93" s="8">
        <v>3.2</v>
      </c>
      <c r="R93" s="8">
        <v>249.3</v>
      </c>
      <c r="S93">
        <v>11</v>
      </c>
      <c r="T93" s="15">
        <v>4</v>
      </c>
      <c r="U93" s="16">
        <v>1.67</v>
      </c>
      <c r="V93" s="16">
        <v>3.4</v>
      </c>
      <c r="W93" s="16">
        <v>3.57</v>
      </c>
      <c r="X93" s="16">
        <v>4</v>
      </c>
      <c r="Y93" s="16">
        <v>3.25</v>
      </c>
      <c r="Z93" s="16">
        <v>2.33</v>
      </c>
      <c r="AA93" s="16">
        <v>4.33</v>
      </c>
      <c r="AB93" s="17">
        <v>14</v>
      </c>
    </row>
    <row r="94" spans="1:28">
      <c r="A94" s="6">
        <v>47</v>
      </c>
      <c r="B94" t="s">
        <v>7</v>
      </c>
      <c r="C94" t="s">
        <v>201</v>
      </c>
      <c r="D94" t="s">
        <v>40</v>
      </c>
      <c r="E94" t="s">
        <v>202</v>
      </c>
      <c r="F94">
        <v>1</v>
      </c>
      <c r="G94" t="s">
        <v>11</v>
      </c>
      <c r="H94" t="s">
        <v>231</v>
      </c>
      <c r="I94" s="8">
        <v>58.4</v>
      </c>
      <c r="J94" s="8">
        <v>16.100000000000001</v>
      </c>
      <c r="K94" s="8">
        <v>55.5</v>
      </c>
      <c r="L94" s="8">
        <v>0</v>
      </c>
      <c r="M94" s="8">
        <v>0</v>
      </c>
      <c r="N94" s="8">
        <v>0</v>
      </c>
      <c r="O94" s="8">
        <v>33.1</v>
      </c>
      <c r="P94" s="8">
        <v>45.6</v>
      </c>
      <c r="Q94" s="8">
        <v>13.8</v>
      </c>
      <c r="R94" s="8">
        <v>145.4</v>
      </c>
      <c r="S94">
        <v>9</v>
      </c>
      <c r="T94" s="12">
        <v>4.25</v>
      </c>
      <c r="U94" s="13">
        <v>1.5</v>
      </c>
      <c r="V94" s="13">
        <v>2</v>
      </c>
      <c r="W94" s="13">
        <v>4.29</v>
      </c>
      <c r="X94" s="13">
        <v>4.4000000000000004</v>
      </c>
      <c r="Y94" s="13">
        <v>4.25</v>
      </c>
      <c r="Z94" s="13">
        <v>4.33</v>
      </c>
      <c r="AA94" s="13">
        <v>3.67</v>
      </c>
      <c r="AB94" s="14">
        <v>13</v>
      </c>
    </row>
    <row r="95" spans="1:28">
      <c r="A95" s="6">
        <v>47</v>
      </c>
      <c r="B95" t="s">
        <v>12</v>
      </c>
      <c r="C95" t="s">
        <v>16</v>
      </c>
      <c r="D95" t="s">
        <v>16</v>
      </c>
      <c r="E95" t="s">
        <v>26</v>
      </c>
      <c r="F95">
        <v>0</v>
      </c>
      <c r="G95" t="s">
        <v>19</v>
      </c>
      <c r="I95" s="8">
        <v>15.7</v>
      </c>
      <c r="J95" s="8">
        <v>0</v>
      </c>
      <c r="K95" s="8">
        <v>0</v>
      </c>
      <c r="L95" s="8">
        <v>0</v>
      </c>
      <c r="M95" s="8">
        <v>0</v>
      </c>
      <c r="N95" s="8">
        <v>0</v>
      </c>
      <c r="O95" s="8">
        <v>0</v>
      </c>
      <c r="P95" s="8">
        <v>0</v>
      </c>
      <c r="Q95" s="8">
        <v>0</v>
      </c>
      <c r="R95" s="8">
        <v>81.099999999999994</v>
      </c>
      <c r="S95">
        <v>9</v>
      </c>
      <c r="T95" s="15">
        <v>4.25</v>
      </c>
      <c r="U95" s="16">
        <v>1.5</v>
      </c>
      <c r="V95" s="16">
        <v>2</v>
      </c>
      <c r="W95" s="16">
        <v>4.29</v>
      </c>
      <c r="X95" s="16">
        <v>4.4000000000000004</v>
      </c>
      <c r="Y95" s="16">
        <v>4.25</v>
      </c>
      <c r="Z95" s="16">
        <v>4.33</v>
      </c>
      <c r="AA95" s="16">
        <v>3.67</v>
      </c>
      <c r="AB95" s="17">
        <v>13</v>
      </c>
    </row>
    <row r="100" spans="8:8">
      <c r="H100">
        <f>COUNTIF(H2:H95,"ok")</f>
        <v>31</v>
      </c>
    </row>
  </sheetData>
  <conditionalFormatting sqref="F2:F97 H8 H10 H12 H14 H16 H18 H20 H22 H24 H26 H28 H30 H32 H34 H36 H38 H40 H42 H44 H46 H48 H50 H52 H54 H56 H58 H60 H62 H64 H66 H68 H70 H72 H74 H76 H78 H80 H82 H84 H86 H88 H90 H92 H94">
    <cfRule type="cellIs" dxfId="0" priority="1" operator="lessThan">
      <formula>0.5</formula>
    </cfRule>
  </conditionalFormatting>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48"/>
  <sheetViews>
    <sheetView workbookViewId="0"/>
  </sheetViews>
  <sheetFormatPr defaultRowHeight="13.8"/>
  <cols>
    <col min="1" max="1" width="5" customWidth="1"/>
    <col min="2" max="2" width="18" customWidth="1"/>
    <col min="3" max="5" width="34" customWidth="1"/>
    <col min="6" max="7" width="34.69921875" customWidth="1"/>
    <col min="8" max="8" width="19.5" customWidth="1"/>
    <col min="9" max="9" width="31.3984375" customWidth="1"/>
  </cols>
  <sheetData>
    <row r="1" spans="1:26" ht="27.6">
      <c r="A1" s="2" t="s">
        <v>0</v>
      </c>
      <c r="B1" s="2" t="s">
        <v>203</v>
      </c>
      <c r="C1" s="2" t="s">
        <v>204</v>
      </c>
      <c r="D1" s="2" t="s">
        <v>205</v>
      </c>
      <c r="E1" s="2" t="s">
        <v>206</v>
      </c>
      <c r="F1" s="2" t="s">
        <v>207</v>
      </c>
      <c r="G1" s="2" t="s">
        <v>208</v>
      </c>
      <c r="H1" s="2" t="s">
        <v>209</v>
      </c>
      <c r="I1" s="2" t="s">
        <v>210</v>
      </c>
      <c r="J1" s="2"/>
      <c r="K1" s="2"/>
      <c r="L1" s="2"/>
      <c r="M1" s="2"/>
      <c r="N1" s="2"/>
      <c r="O1" s="2"/>
      <c r="P1" s="2"/>
      <c r="Q1" s="2"/>
      <c r="R1" s="2"/>
      <c r="S1" s="2"/>
      <c r="T1" s="2"/>
      <c r="U1" s="2"/>
      <c r="V1" s="2"/>
      <c r="W1" s="2"/>
      <c r="X1" s="2"/>
      <c r="Y1" s="2"/>
      <c r="Z1" s="2"/>
    </row>
    <row r="2" spans="1:26">
      <c r="A2">
        <v>1</v>
      </c>
      <c r="B2" t="s">
        <v>15</v>
      </c>
      <c r="C2" t="s">
        <v>10</v>
      </c>
      <c r="D2">
        <v>1</v>
      </c>
      <c r="E2">
        <v>1</v>
      </c>
      <c r="F2" t="s">
        <v>11</v>
      </c>
      <c r="G2" t="s">
        <v>11</v>
      </c>
      <c r="H2">
        <v>0</v>
      </c>
      <c r="I2" t="s">
        <v>211</v>
      </c>
    </row>
    <row r="3" spans="1:26">
      <c r="A3">
        <v>2</v>
      </c>
      <c r="B3" t="s">
        <v>18</v>
      </c>
      <c r="C3" t="s">
        <v>22</v>
      </c>
      <c r="D3">
        <v>0</v>
      </c>
      <c r="E3">
        <v>1</v>
      </c>
      <c r="F3" t="s">
        <v>19</v>
      </c>
      <c r="G3" t="s">
        <v>11</v>
      </c>
      <c r="H3">
        <v>1</v>
      </c>
      <c r="I3" t="s">
        <v>212</v>
      </c>
    </row>
    <row r="4" spans="1:26">
      <c r="A4">
        <v>3</v>
      </c>
      <c r="B4" t="s">
        <v>26</v>
      </c>
      <c r="C4" t="s">
        <v>25</v>
      </c>
      <c r="D4">
        <v>0</v>
      </c>
      <c r="E4">
        <v>1</v>
      </c>
      <c r="F4" t="s">
        <v>19</v>
      </c>
      <c r="G4" t="s">
        <v>11</v>
      </c>
      <c r="H4">
        <v>1</v>
      </c>
      <c r="I4" t="s">
        <v>212</v>
      </c>
    </row>
    <row r="5" spans="1:26">
      <c r="A5">
        <v>4</v>
      </c>
      <c r="B5" t="s">
        <v>29</v>
      </c>
      <c r="C5" t="s">
        <v>31</v>
      </c>
      <c r="D5">
        <v>1</v>
      </c>
      <c r="E5">
        <v>0</v>
      </c>
      <c r="F5" t="s">
        <v>11</v>
      </c>
      <c r="G5" t="s">
        <v>19</v>
      </c>
      <c r="H5">
        <v>1</v>
      </c>
      <c r="I5" t="s">
        <v>213</v>
      </c>
    </row>
    <row r="6" spans="1:26">
      <c r="A6">
        <v>5</v>
      </c>
      <c r="B6" t="s">
        <v>35</v>
      </c>
      <c r="C6" t="s">
        <v>33</v>
      </c>
      <c r="D6">
        <v>1</v>
      </c>
      <c r="E6">
        <v>1</v>
      </c>
      <c r="F6" t="s">
        <v>11</v>
      </c>
      <c r="G6" t="s">
        <v>11</v>
      </c>
      <c r="H6">
        <v>0</v>
      </c>
      <c r="I6" t="s">
        <v>211</v>
      </c>
    </row>
    <row r="7" spans="1:26">
      <c r="A7">
        <v>6</v>
      </c>
      <c r="B7" t="s">
        <v>38</v>
      </c>
      <c r="C7" t="s">
        <v>41</v>
      </c>
      <c r="D7">
        <v>1</v>
      </c>
      <c r="E7">
        <v>1</v>
      </c>
      <c r="F7" t="s">
        <v>11</v>
      </c>
      <c r="G7" t="s">
        <v>11</v>
      </c>
      <c r="H7">
        <v>0</v>
      </c>
      <c r="I7" t="s">
        <v>211</v>
      </c>
    </row>
    <row r="8" spans="1:26">
      <c r="A8">
        <v>7</v>
      </c>
      <c r="B8" t="s">
        <v>47</v>
      </c>
      <c r="C8" t="s">
        <v>44</v>
      </c>
      <c r="D8">
        <v>1</v>
      </c>
      <c r="E8">
        <v>1</v>
      </c>
      <c r="F8" t="s">
        <v>11</v>
      </c>
      <c r="G8" t="s">
        <v>11</v>
      </c>
      <c r="H8">
        <v>0</v>
      </c>
      <c r="I8" t="s">
        <v>211</v>
      </c>
    </row>
    <row r="9" spans="1:26">
      <c r="A9">
        <v>8</v>
      </c>
      <c r="B9" t="s">
        <v>49</v>
      </c>
      <c r="C9" t="s">
        <v>52</v>
      </c>
      <c r="D9">
        <v>0</v>
      </c>
      <c r="E9">
        <v>1</v>
      </c>
      <c r="F9" t="s">
        <v>19</v>
      </c>
      <c r="G9" t="s">
        <v>11</v>
      </c>
      <c r="H9">
        <v>1</v>
      </c>
      <c r="I9" t="s">
        <v>212</v>
      </c>
    </row>
    <row r="10" spans="1:26">
      <c r="A10">
        <v>10</v>
      </c>
      <c r="B10" t="s">
        <v>54</v>
      </c>
      <c r="C10" t="s">
        <v>57</v>
      </c>
      <c r="D10">
        <v>0</v>
      </c>
      <c r="E10">
        <v>1</v>
      </c>
      <c r="F10" t="s">
        <v>19</v>
      </c>
      <c r="G10" t="s">
        <v>11</v>
      </c>
      <c r="H10">
        <v>1</v>
      </c>
      <c r="I10" t="s">
        <v>212</v>
      </c>
    </row>
    <row r="11" spans="1:26">
      <c r="A11">
        <v>11</v>
      </c>
      <c r="B11" t="s">
        <v>26</v>
      </c>
      <c r="C11" t="s">
        <v>60</v>
      </c>
      <c r="D11">
        <v>0</v>
      </c>
      <c r="E11">
        <v>1</v>
      </c>
      <c r="F11" t="s">
        <v>19</v>
      </c>
      <c r="G11" t="s">
        <v>11</v>
      </c>
      <c r="H11">
        <v>1</v>
      </c>
      <c r="I11" t="s">
        <v>212</v>
      </c>
    </row>
    <row r="12" spans="1:26">
      <c r="A12">
        <v>12</v>
      </c>
      <c r="B12" t="s">
        <v>63</v>
      </c>
      <c r="C12" t="s">
        <v>66</v>
      </c>
      <c r="D12">
        <v>1</v>
      </c>
      <c r="E12">
        <v>1</v>
      </c>
      <c r="F12" t="s">
        <v>11</v>
      </c>
      <c r="G12" t="s">
        <v>11</v>
      </c>
      <c r="H12">
        <v>0</v>
      </c>
      <c r="I12" t="s">
        <v>211</v>
      </c>
    </row>
    <row r="13" spans="1:26">
      <c r="A13">
        <v>13</v>
      </c>
      <c r="B13" t="s">
        <v>26</v>
      </c>
      <c r="C13" t="s">
        <v>68</v>
      </c>
      <c r="D13">
        <v>0</v>
      </c>
      <c r="E13">
        <v>1</v>
      </c>
      <c r="F13" t="s">
        <v>19</v>
      </c>
      <c r="G13" t="s">
        <v>11</v>
      </c>
      <c r="H13">
        <v>1</v>
      </c>
      <c r="I13" t="s">
        <v>212</v>
      </c>
    </row>
    <row r="14" spans="1:26">
      <c r="A14">
        <v>14</v>
      </c>
      <c r="B14" t="s">
        <v>71</v>
      </c>
      <c r="C14" t="s">
        <v>74</v>
      </c>
      <c r="D14">
        <v>0</v>
      </c>
      <c r="E14">
        <v>1</v>
      </c>
      <c r="F14" t="s">
        <v>19</v>
      </c>
      <c r="G14" t="s">
        <v>11</v>
      </c>
      <c r="H14">
        <v>1</v>
      </c>
      <c r="I14" t="s">
        <v>212</v>
      </c>
    </row>
    <row r="15" spans="1:26">
      <c r="A15">
        <v>15</v>
      </c>
      <c r="B15" t="s">
        <v>26</v>
      </c>
      <c r="C15" t="s">
        <v>76</v>
      </c>
      <c r="D15">
        <v>0</v>
      </c>
      <c r="E15">
        <v>1</v>
      </c>
      <c r="F15" t="s">
        <v>19</v>
      </c>
      <c r="G15" t="s">
        <v>11</v>
      </c>
      <c r="H15">
        <v>1</v>
      </c>
      <c r="I15" t="s">
        <v>212</v>
      </c>
    </row>
    <row r="16" spans="1:26">
      <c r="A16">
        <v>17</v>
      </c>
      <c r="B16" t="s">
        <v>78</v>
      </c>
      <c r="C16" t="s">
        <v>79</v>
      </c>
      <c r="D16">
        <v>0</v>
      </c>
      <c r="E16">
        <v>1</v>
      </c>
      <c r="F16" t="s">
        <v>19</v>
      </c>
      <c r="G16" t="s">
        <v>11</v>
      </c>
      <c r="H16">
        <v>1</v>
      </c>
      <c r="I16" t="s">
        <v>212</v>
      </c>
    </row>
    <row r="17" spans="1:9">
      <c r="A17">
        <v>18</v>
      </c>
      <c r="B17" t="s">
        <v>26</v>
      </c>
      <c r="C17" t="s">
        <v>82</v>
      </c>
      <c r="D17">
        <v>0</v>
      </c>
      <c r="E17">
        <v>1</v>
      </c>
      <c r="F17" t="s">
        <v>19</v>
      </c>
      <c r="G17" t="s">
        <v>11</v>
      </c>
      <c r="H17">
        <v>1</v>
      </c>
      <c r="I17" t="s">
        <v>212</v>
      </c>
    </row>
    <row r="18" spans="1:9">
      <c r="A18">
        <v>19</v>
      </c>
      <c r="B18" t="s">
        <v>84</v>
      </c>
      <c r="C18" t="s">
        <v>87</v>
      </c>
      <c r="D18">
        <v>1</v>
      </c>
      <c r="E18">
        <v>1</v>
      </c>
      <c r="F18" t="s">
        <v>11</v>
      </c>
      <c r="G18" t="s">
        <v>11</v>
      </c>
      <c r="H18">
        <v>0</v>
      </c>
      <c r="I18" t="s">
        <v>211</v>
      </c>
    </row>
    <row r="19" spans="1:9">
      <c r="A19">
        <v>20</v>
      </c>
      <c r="B19" t="s">
        <v>90</v>
      </c>
      <c r="C19" t="s">
        <v>90</v>
      </c>
      <c r="D19">
        <v>1</v>
      </c>
      <c r="E19">
        <v>1</v>
      </c>
      <c r="F19" t="s">
        <v>11</v>
      </c>
      <c r="G19" t="s">
        <v>11</v>
      </c>
      <c r="H19">
        <v>0</v>
      </c>
      <c r="I19" t="s">
        <v>211</v>
      </c>
    </row>
    <row r="20" spans="1:9">
      <c r="A20">
        <v>21</v>
      </c>
      <c r="B20" t="s">
        <v>26</v>
      </c>
      <c r="C20" t="s">
        <v>91</v>
      </c>
      <c r="D20">
        <v>0</v>
      </c>
      <c r="E20">
        <v>1</v>
      </c>
      <c r="F20" t="s">
        <v>19</v>
      </c>
      <c r="G20" t="s">
        <v>11</v>
      </c>
      <c r="H20">
        <v>1</v>
      </c>
      <c r="I20" t="s">
        <v>212</v>
      </c>
    </row>
    <row r="21" spans="1:9">
      <c r="A21">
        <v>22</v>
      </c>
      <c r="B21" t="s">
        <v>26</v>
      </c>
      <c r="C21" t="s">
        <v>93</v>
      </c>
      <c r="D21">
        <v>0</v>
      </c>
      <c r="E21">
        <v>1</v>
      </c>
      <c r="F21" t="s">
        <v>19</v>
      </c>
      <c r="G21" t="s">
        <v>11</v>
      </c>
      <c r="H21">
        <v>1</v>
      </c>
      <c r="I21" t="s">
        <v>212</v>
      </c>
    </row>
    <row r="22" spans="1:9">
      <c r="A22">
        <v>23</v>
      </c>
      <c r="B22" t="s">
        <v>96</v>
      </c>
      <c r="C22" t="s">
        <v>98</v>
      </c>
      <c r="D22">
        <v>1</v>
      </c>
      <c r="E22">
        <v>1</v>
      </c>
      <c r="F22" t="s">
        <v>11</v>
      </c>
      <c r="G22" t="s">
        <v>11</v>
      </c>
      <c r="H22">
        <v>0</v>
      </c>
      <c r="I22" t="s">
        <v>211</v>
      </c>
    </row>
    <row r="23" spans="1:9">
      <c r="A23">
        <v>24</v>
      </c>
      <c r="B23" t="s">
        <v>103</v>
      </c>
      <c r="C23" t="s">
        <v>100</v>
      </c>
      <c r="D23">
        <v>1</v>
      </c>
      <c r="E23">
        <v>1</v>
      </c>
      <c r="F23" t="s">
        <v>11</v>
      </c>
      <c r="G23" t="s">
        <v>11</v>
      </c>
      <c r="H23">
        <v>0</v>
      </c>
      <c r="I23" t="s">
        <v>211</v>
      </c>
    </row>
    <row r="24" spans="1:9">
      <c r="A24">
        <v>25</v>
      </c>
      <c r="B24" t="s">
        <v>106</v>
      </c>
      <c r="C24" t="s">
        <v>109</v>
      </c>
      <c r="D24">
        <v>1</v>
      </c>
      <c r="E24">
        <v>1</v>
      </c>
      <c r="F24" t="s">
        <v>11</v>
      </c>
      <c r="G24" t="s">
        <v>11</v>
      </c>
      <c r="H24">
        <v>0</v>
      </c>
      <c r="I24" t="s">
        <v>211</v>
      </c>
    </row>
    <row r="25" spans="1:9">
      <c r="A25">
        <v>27</v>
      </c>
      <c r="B25" t="s">
        <v>115</v>
      </c>
      <c r="C25" t="s">
        <v>112</v>
      </c>
      <c r="D25">
        <v>1</v>
      </c>
      <c r="E25">
        <v>1</v>
      </c>
      <c r="F25" t="s">
        <v>11</v>
      </c>
      <c r="G25" t="s">
        <v>11</v>
      </c>
      <c r="H25">
        <v>0</v>
      </c>
      <c r="I25" t="s">
        <v>211</v>
      </c>
    </row>
    <row r="26" spans="1:9">
      <c r="A26">
        <v>29</v>
      </c>
      <c r="B26" t="s">
        <v>117</v>
      </c>
      <c r="C26" t="s">
        <v>120</v>
      </c>
      <c r="D26">
        <v>1</v>
      </c>
      <c r="E26">
        <v>1</v>
      </c>
      <c r="F26" t="s">
        <v>11</v>
      </c>
      <c r="G26" t="s">
        <v>11</v>
      </c>
      <c r="H26">
        <v>0</v>
      </c>
      <c r="I26" t="s">
        <v>211</v>
      </c>
    </row>
    <row r="27" spans="1:9">
      <c r="A27">
        <v>30</v>
      </c>
      <c r="B27" t="s">
        <v>125</v>
      </c>
      <c r="C27" t="s">
        <v>123</v>
      </c>
      <c r="D27">
        <v>0</v>
      </c>
      <c r="E27">
        <v>1</v>
      </c>
      <c r="F27" t="s">
        <v>19</v>
      </c>
      <c r="G27" t="s">
        <v>11</v>
      </c>
      <c r="H27">
        <v>1</v>
      </c>
      <c r="I27" t="s">
        <v>212</v>
      </c>
    </row>
    <row r="28" spans="1:9">
      <c r="A28">
        <v>31</v>
      </c>
      <c r="B28" t="s">
        <v>54</v>
      </c>
      <c r="C28" t="s">
        <v>127</v>
      </c>
      <c r="D28">
        <v>0</v>
      </c>
      <c r="E28">
        <v>1</v>
      </c>
      <c r="F28" t="s">
        <v>19</v>
      </c>
      <c r="G28" t="s">
        <v>11</v>
      </c>
      <c r="H28">
        <v>1</v>
      </c>
      <c r="I28" t="s">
        <v>212</v>
      </c>
    </row>
    <row r="29" spans="1:9">
      <c r="A29">
        <v>32</v>
      </c>
      <c r="B29" t="s">
        <v>26</v>
      </c>
      <c r="C29" t="s">
        <v>130</v>
      </c>
      <c r="D29">
        <v>0</v>
      </c>
      <c r="E29">
        <v>1</v>
      </c>
      <c r="F29" t="s">
        <v>19</v>
      </c>
      <c r="G29" t="s">
        <v>11</v>
      </c>
      <c r="H29">
        <v>1</v>
      </c>
      <c r="I29" t="s">
        <v>212</v>
      </c>
    </row>
    <row r="30" spans="1:9">
      <c r="A30">
        <v>33</v>
      </c>
      <c r="B30" t="s">
        <v>135</v>
      </c>
      <c r="C30" t="s">
        <v>133</v>
      </c>
      <c r="D30">
        <v>0</v>
      </c>
      <c r="E30">
        <v>1</v>
      </c>
      <c r="F30" t="s">
        <v>19</v>
      </c>
      <c r="G30" t="s">
        <v>11</v>
      </c>
      <c r="H30">
        <v>1</v>
      </c>
      <c r="I30" t="s">
        <v>212</v>
      </c>
    </row>
    <row r="31" spans="1:9">
      <c r="A31">
        <v>34</v>
      </c>
      <c r="B31" t="s">
        <v>54</v>
      </c>
      <c r="C31" t="s">
        <v>138</v>
      </c>
      <c r="D31">
        <v>0</v>
      </c>
      <c r="E31">
        <v>1</v>
      </c>
      <c r="F31" t="s">
        <v>19</v>
      </c>
      <c r="G31" t="s">
        <v>11</v>
      </c>
      <c r="H31">
        <v>1</v>
      </c>
      <c r="I31" t="s">
        <v>212</v>
      </c>
    </row>
    <row r="32" spans="1:9">
      <c r="A32">
        <v>35</v>
      </c>
      <c r="B32" t="s">
        <v>31</v>
      </c>
      <c r="C32" t="s">
        <v>141</v>
      </c>
      <c r="D32">
        <v>0</v>
      </c>
      <c r="E32">
        <v>1</v>
      </c>
      <c r="F32" t="s">
        <v>19</v>
      </c>
      <c r="G32" t="s">
        <v>11</v>
      </c>
      <c r="H32">
        <v>1</v>
      </c>
      <c r="I32" t="s">
        <v>212</v>
      </c>
    </row>
    <row r="33" spans="1:9">
      <c r="A33">
        <v>36</v>
      </c>
      <c r="B33" t="s">
        <v>146</v>
      </c>
      <c r="C33" t="s">
        <v>144</v>
      </c>
      <c r="D33">
        <v>1</v>
      </c>
      <c r="E33">
        <v>1</v>
      </c>
      <c r="F33" t="s">
        <v>11</v>
      </c>
      <c r="G33" t="s">
        <v>11</v>
      </c>
      <c r="H33">
        <v>0</v>
      </c>
      <c r="I33" t="s">
        <v>211</v>
      </c>
    </row>
    <row r="34" spans="1:9">
      <c r="A34">
        <v>37</v>
      </c>
      <c r="B34" t="s">
        <v>26</v>
      </c>
      <c r="C34" t="s">
        <v>148</v>
      </c>
      <c r="D34">
        <v>0</v>
      </c>
      <c r="E34">
        <v>0</v>
      </c>
      <c r="F34" t="s">
        <v>19</v>
      </c>
      <c r="G34" t="s">
        <v>19</v>
      </c>
      <c r="H34">
        <v>0</v>
      </c>
      <c r="I34" t="s">
        <v>214</v>
      </c>
    </row>
    <row r="35" spans="1:9">
      <c r="A35">
        <v>38</v>
      </c>
      <c r="B35" t="s">
        <v>154</v>
      </c>
      <c r="C35" t="s">
        <v>151</v>
      </c>
      <c r="D35">
        <v>1</v>
      </c>
      <c r="E35">
        <v>1</v>
      </c>
      <c r="F35" t="s">
        <v>11</v>
      </c>
      <c r="G35" t="s">
        <v>11</v>
      </c>
      <c r="H35">
        <v>0</v>
      </c>
      <c r="I35" t="s">
        <v>211</v>
      </c>
    </row>
    <row r="36" spans="1:9">
      <c r="A36">
        <v>40</v>
      </c>
      <c r="B36" t="s">
        <v>26</v>
      </c>
      <c r="C36" t="s">
        <v>156</v>
      </c>
      <c r="D36">
        <v>0</v>
      </c>
      <c r="E36">
        <v>1</v>
      </c>
      <c r="F36" t="s">
        <v>19</v>
      </c>
      <c r="G36" t="s">
        <v>11</v>
      </c>
      <c r="H36">
        <v>1</v>
      </c>
      <c r="I36" t="s">
        <v>212</v>
      </c>
    </row>
    <row r="37" spans="1:9">
      <c r="A37">
        <v>41</v>
      </c>
      <c r="B37" t="s">
        <v>125</v>
      </c>
      <c r="C37" t="s">
        <v>159</v>
      </c>
      <c r="D37">
        <v>0</v>
      </c>
      <c r="E37">
        <v>1</v>
      </c>
      <c r="F37" t="s">
        <v>19</v>
      </c>
      <c r="G37" t="s">
        <v>11</v>
      </c>
      <c r="H37">
        <v>1</v>
      </c>
      <c r="I37" t="s">
        <v>212</v>
      </c>
    </row>
    <row r="38" spans="1:9">
      <c r="A38">
        <v>42</v>
      </c>
      <c r="B38" t="s">
        <v>164</v>
      </c>
      <c r="C38" t="s">
        <v>162</v>
      </c>
      <c r="D38">
        <v>0</v>
      </c>
      <c r="E38">
        <v>1</v>
      </c>
      <c r="F38" t="s">
        <v>19</v>
      </c>
      <c r="G38" t="s">
        <v>11</v>
      </c>
      <c r="H38">
        <v>1</v>
      </c>
      <c r="I38" t="s">
        <v>212</v>
      </c>
    </row>
    <row r="39" spans="1:9">
      <c r="A39">
        <v>43</v>
      </c>
      <c r="B39" t="s">
        <v>54</v>
      </c>
      <c r="C39" t="s">
        <v>167</v>
      </c>
      <c r="D39">
        <v>0</v>
      </c>
      <c r="E39">
        <v>1</v>
      </c>
      <c r="F39" t="s">
        <v>19</v>
      </c>
      <c r="G39" t="s">
        <v>11</v>
      </c>
      <c r="H39">
        <v>1</v>
      </c>
      <c r="I39" t="s">
        <v>212</v>
      </c>
    </row>
    <row r="40" spans="1:9">
      <c r="A40">
        <v>44</v>
      </c>
      <c r="B40" t="s">
        <v>171</v>
      </c>
      <c r="C40" t="s">
        <v>170</v>
      </c>
      <c r="D40">
        <v>0</v>
      </c>
      <c r="E40">
        <v>1</v>
      </c>
      <c r="F40" t="s">
        <v>19</v>
      </c>
      <c r="G40" t="s">
        <v>11</v>
      </c>
      <c r="H40">
        <v>1</v>
      </c>
      <c r="I40" t="s">
        <v>212</v>
      </c>
    </row>
    <row r="41" spans="1:9">
      <c r="A41">
        <v>45</v>
      </c>
      <c r="B41" t="s">
        <v>173</v>
      </c>
      <c r="C41" t="s">
        <v>176</v>
      </c>
      <c r="D41">
        <v>0</v>
      </c>
      <c r="E41">
        <v>1</v>
      </c>
      <c r="F41" t="s">
        <v>19</v>
      </c>
      <c r="G41" t="s">
        <v>11</v>
      </c>
      <c r="H41">
        <v>1</v>
      </c>
      <c r="I41" t="s">
        <v>212</v>
      </c>
    </row>
    <row r="42" spans="1:9">
      <c r="A42">
        <v>46</v>
      </c>
      <c r="B42" t="s">
        <v>125</v>
      </c>
      <c r="C42" t="s">
        <v>178</v>
      </c>
      <c r="D42">
        <v>0</v>
      </c>
      <c r="E42">
        <v>1</v>
      </c>
      <c r="F42" t="s">
        <v>19</v>
      </c>
      <c r="G42" t="s">
        <v>11</v>
      </c>
      <c r="H42">
        <v>1</v>
      </c>
      <c r="I42" t="s">
        <v>212</v>
      </c>
    </row>
    <row r="43" spans="1:9">
      <c r="A43">
        <v>47</v>
      </c>
      <c r="B43" t="s">
        <v>180</v>
      </c>
      <c r="C43" t="s">
        <v>182</v>
      </c>
      <c r="D43">
        <v>1</v>
      </c>
      <c r="E43">
        <v>1</v>
      </c>
      <c r="F43" t="s">
        <v>11</v>
      </c>
      <c r="G43" t="s">
        <v>11</v>
      </c>
      <c r="H43">
        <v>0</v>
      </c>
      <c r="I43" t="s">
        <v>211</v>
      </c>
    </row>
    <row r="44" spans="1:9">
      <c r="A44">
        <v>48</v>
      </c>
      <c r="B44" t="s">
        <v>187</v>
      </c>
      <c r="C44" t="s">
        <v>185</v>
      </c>
      <c r="D44">
        <v>0</v>
      </c>
      <c r="E44">
        <v>1</v>
      </c>
      <c r="F44" t="s">
        <v>19</v>
      </c>
      <c r="G44" t="s">
        <v>11</v>
      </c>
      <c r="H44">
        <v>1</v>
      </c>
      <c r="I44" t="s">
        <v>212</v>
      </c>
    </row>
    <row r="45" spans="1:9">
      <c r="A45">
        <v>49</v>
      </c>
      <c r="B45" t="s">
        <v>189</v>
      </c>
      <c r="C45" t="s">
        <v>191</v>
      </c>
      <c r="D45">
        <v>0</v>
      </c>
      <c r="E45">
        <v>1</v>
      </c>
      <c r="F45" t="s">
        <v>19</v>
      </c>
      <c r="G45" t="s">
        <v>11</v>
      </c>
      <c r="H45">
        <v>1</v>
      </c>
      <c r="I45" t="s">
        <v>212</v>
      </c>
    </row>
    <row r="46" spans="1:9">
      <c r="A46">
        <v>52</v>
      </c>
      <c r="B46" t="s">
        <v>195</v>
      </c>
      <c r="C46" t="s">
        <v>194</v>
      </c>
      <c r="D46">
        <v>0</v>
      </c>
      <c r="E46">
        <v>1</v>
      </c>
      <c r="F46" t="s">
        <v>19</v>
      </c>
      <c r="G46" t="s">
        <v>11</v>
      </c>
      <c r="H46">
        <v>1</v>
      </c>
      <c r="I46" t="s">
        <v>212</v>
      </c>
    </row>
    <row r="47" spans="1:9">
      <c r="A47">
        <v>53</v>
      </c>
      <c r="B47" t="s">
        <v>197</v>
      </c>
      <c r="C47" t="s">
        <v>200</v>
      </c>
      <c r="D47">
        <v>0</v>
      </c>
      <c r="E47">
        <v>1</v>
      </c>
      <c r="F47" t="s">
        <v>19</v>
      </c>
      <c r="G47" t="s">
        <v>11</v>
      </c>
      <c r="H47">
        <v>1</v>
      </c>
      <c r="I47" t="s">
        <v>212</v>
      </c>
    </row>
    <row r="48" spans="1:9">
      <c r="A48">
        <v>54</v>
      </c>
      <c r="B48" t="s">
        <v>26</v>
      </c>
      <c r="C48" t="s">
        <v>202</v>
      </c>
      <c r="D48">
        <v>0</v>
      </c>
      <c r="E48">
        <v>1</v>
      </c>
      <c r="F48" t="s">
        <v>19</v>
      </c>
      <c r="G48" t="s">
        <v>11</v>
      </c>
      <c r="H48">
        <v>1</v>
      </c>
      <c r="I48" t="s">
        <v>212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0"/>
  <sheetViews>
    <sheetView workbookViewId="0"/>
  </sheetViews>
  <sheetFormatPr defaultRowHeight="13.8"/>
  <cols>
    <col min="1" max="1" width="48" customWidth="1"/>
    <col min="2" max="2" width="12" customWidth="1"/>
    <col min="3" max="5" width="34" customWidth="1"/>
    <col min="6" max="6" width="10.19921875" customWidth="1"/>
  </cols>
  <sheetData>
    <row r="1" spans="1:26">
      <c r="A1" s="4" t="s">
        <v>215</v>
      </c>
      <c r="B1" s="4"/>
      <c r="C1" s="2"/>
      <c r="D1" s="2"/>
      <c r="E1" s="2"/>
      <c r="F1" s="2"/>
      <c r="G1" s="2"/>
      <c r="H1" s="2"/>
      <c r="I1" s="2"/>
      <c r="J1" s="2"/>
      <c r="K1" s="2"/>
      <c r="L1" s="2"/>
      <c r="M1" s="2"/>
      <c r="N1" s="2"/>
      <c r="O1" s="2"/>
      <c r="P1" s="2"/>
      <c r="Q1" s="2"/>
      <c r="R1" s="2"/>
      <c r="S1" s="2"/>
      <c r="T1" s="2"/>
      <c r="U1" s="2"/>
      <c r="V1" s="2"/>
      <c r="W1" s="2"/>
      <c r="X1" s="2"/>
      <c r="Y1" s="2"/>
      <c r="Z1" s="2"/>
    </row>
    <row r="2" spans="1:26">
      <c r="A2">
        <v>0</v>
      </c>
      <c r="B2" t="s">
        <v>216</v>
      </c>
    </row>
    <row r="3" spans="1:26">
      <c r="A3">
        <v>1</v>
      </c>
      <c r="B3" t="s">
        <v>217</v>
      </c>
    </row>
    <row r="5" spans="1:26">
      <c r="A5" s="1" t="s">
        <v>1</v>
      </c>
      <c r="B5" s="1" t="s">
        <v>218</v>
      </c>
      <c r="C5" s="1" t="s">
        <v>219</v>
      </c>
      <c r="D5" s="1" t="s">
        <v>220</v>
      </c>
      <c r="E5" s="1" t="s">
        <v>221</v>
      </c>
      <c r="F5" s="1" t="s">
        <v>222</v>
      </c>
    </row>
    <row r="6" spans="1:26">
      <c r="A6" t="s">
        <v>223</v>
      </c>
      <c r="B6">
        <v>0</v>
      </c>
      <c r="C6" t="s">
        <v>19</v>
      </c>
      <c r="D6">
        <v>31</v>
      </c>
      <c r="E6">
        <v>47</v>
      </c>
      <c r="F6" s="5">
        <v>0.65957446808510634</v>
      </c>
    </row>
    <row r="7" spans="1:26">
      <c r="A7" t="s">
        <v>223</v>
      </c>
      <c r="B7">
        <v>1</v>
      </c>
      <c r="C7" t="s">
        <v>11</v>
      </c>
      <c r="D7">
        <v>16</v>
      </c>
      <c r="E7">
        <v>47</v>
      </c>
      <c r="F7" s="5">
        <v>0.34042553191489361</v>
      </c>
    </row>
    <row r="8" spans="1:26">
      <c r="A8" t="s">
        <v>224</v>
      </c>
      <c r="B8">
        <v>0</v>
      </c>
      <c r="C8" t="s">
        <v>19</v>
      </c>
      <c r="D8">
        <v>2</v>
      </c>
      <c r="E8">
        <v>47</v>
      </c>
      <c r="F8" s="5">
        <v>4.2553191489361701E-2</v>
      </c>
    </row>
    <row r="9" spans="1:26">
      <c r="A9" t="s">
        <v>224</v>
      </c>
      <c r="B9">
        <v>1</v>
      </c>
      <c r="C9" t="s">
        <v>11</v>
      </c>
      <c r="D9">
        <v>45</v>
      </c>
      <c r="E9">
        <v>47</v>
      </c>
      <c r="F9" s="5">
        <v>0.95744680851063835</v>
      </c>
    </row>
    <row r="10" spans="1:26">
      <c r="A10" t="s">
        <v>225</v>
      </c>
      <c r="B10">
        <v>0</v>
      </c>
      <c r="C10" t="s">
        <v>19</v>
      </c>
      <c r="D10">
        <v>33</v>
      </c>
      <c r="E10">
        <v>94</v>
      </c>
      <c r="F10" s="5">
        <v>0.35106382978723405</v>
      </c>
    </row>
    <row r="11" spans="1:26">
      <c r="A11" t="s">
        <v>225</v>
      </c>
      <c r="B11">
        <v>1</v>
      </c>
      <c r="C11" t="s">
        <v>11</v>
      </c>
      <c r="D11">
        <v>61</v>
      </c>
      <c r="E11">
        <v>94</v>
      </c>
      <c r="F11" s="5">
        <v>0.64893617021276595</v>
      </c>
    </row>
    <row r="12" spans="1:26">
      <c r="F12" s="5"/>
    </row>
    <row r="13" spans="1:26">
      <c r="A13" s="1" t="s">
        <v>226</v>
      </c>
      <c r="B13" s="1" t="s">
        <v>220</v>
      </c>
      <c r="C13" s="1" t="s">
        <v>221</v>
      </c>
      <c r="D13" s="1" t="s">
        <v>222</v>
      </c>
      <c r="F13" s="5"/>
    </row>
    <row r="14" spans="1:26">
      <c r="A14" t="s">
        <v>212</v>
      </c>
      <c r="B14">
        <v>30</v>
      </c>
      <c r="C14">
        <v>47</v>
      </c>
      <c r="D14" s="5">
        <v>0.63829787234042556</v>
      </c>
      <c r="F14" s="5"/>
    </row>
    <row r="15" spans="1:26">
      <c r="A15" t="s">
        <v>211</v>
      </c>
      <c r="B15">
        <v>15</v>
      </c>
      <c r="C15">
        <v>47</v>
      </c>
      <c r="D15" s="5">
        <v>0.31914893617021278</v>
      </c>
      <c r="F15" s="5"/>
    </row>
    <row r="16" spans="1:26">
      <c r="A16" t="s">
        <v>213</v>
      </c>
      <c r="B16">
        <v>1</v>
      </c>
      <c r="C16">
        <v>47</v>
      </c>
      <c r="D16" s="5">
        <v>2.1276595744680851E-2</v>
      </c>
      <c r="F16" s="5"/>
    </row>
    <row r="17" spans="1:6">
      <c r="A17" t="s">
        <v>214</v>
      </c>
      <c r="B17">
        <v>1</v>
      </c>
      <c r="C17">
        <v>47</v>
      </c>
      <c r="D17" s="5">
        <v>2.1276595744680851E-2</v>
      </c>
      <c r="F17" s="5"/>
    </row>
    <row r="18" spans="1:6">
      <c r="A18" t="s">
        <v>227</v>
      </c>
      <c r="B18">
        <v>31</v>
      </c>
      <c r="C18">
        <v>47</v>
      </c>
      <c r="D18" s="5">
        <v>0.65957446808510634</v>
      </c>
      <c r="F18" s="5"/>
    </row>
    <row r="19" spans="1:6">
      <c r="A19" t="s">
        <v>228</v>
      </c>
      <c r="B19">
        <v>45</v>
      </c>
      <c r="C19">
        <v>47</v>
      </c>
      <c r="D19" s="5">
        <v>0.95744680851063835</v>
      </c>
      <c r="F19" s="5"/>
    </row>
    <row r="20" spans="1:6">
      <c r="A20" t="s">
        <v>229</v>
      </c>
      <c r="B20">
        <v>31</v>
      </c>
      <c r="C20">
        <v>47</v>
      </c>
      <c r="D20" s="5">
        <v>0.65957446808510634</v>
      </c>
      <c r="F20"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657E3-2DA4-4250-9031-D0AD171E0C61}">
  <dimension ref="A1:G54"/>
  <sheetViews>
    <sheetView workbookViewId="0">
      <selection activeCell="G54" sqref="G54"/>
    </sheetView>
  </sheetViews>
  <sheetFormatPr defaultRowHeight="13.8"/>
  <cols>
    <col min="1" max="1" width="19.5" bestFit="1" customWidth="1"/>
    <col min="2" max="2" width="20.3984375" bestFit="1" customWidth="1"/>
    <col min="3" max="3" width="11.8984375" bestFit="1" customWidth="1"/>
    <col min="4" max="5" width="18.19921875" bestFit="1" customWidth="1"/>
  </cols>
  <sheetData>
    <row r="1" spans="1:7">
      <c r="A1" t="s">
        <v>253</v>
      </c>
    </row>
    <row r="3" spans="1:7">
      <c r="A3" s="18" t="s">
        <v>257</v>
      </c>
      <c r="B3" s="18" t="s">
        <v>256</v>
      </c>
    </row>
    <row r="4" spans="1:7">
      <c r="A4" s="18" t="s">
        <v>254</v>
      </c>
      <c r="B4" t="s">
        <v>12</v>
      </c>
      <c r="C4" t="s">
        <v>7</v>
      </c>
      <c r="D4" t="s">
        <v>255</v>
      </c>
    </row>
    <row r="5" spans="1:7">
      <c r="A5" s="19">
        <v>1</v>
      </c>
      <c r="B5" s="10">
        <v>175.6</v>
      </c>
      <c r="C5" s="10">
        <v>181</v>
      </c>
      <c r="D5" s="10">
        <v>178.3</v>
      </c>
      <c r="F5" t="str">
        <f>B4</f>
        <v>A</v>
      </c>
      <c r="G5" t="str">
        <f>C4</f>
        <v>P</v>
      </c>
    </row>
    <row r="6" spans="1:7">
      <c r="A6" s="19">
        <v>2</v>
      </c>
      <c r="B6" s="10">
        <v>212.8</v>
      </c>
      <c r="C6" s="10">
        <v>138.69999999999999</v>
      </c>
      <c r="D6" s="10">
        <v>175.75</v>
      </c>
      <c r="F6">
        <f t="shared" ref="F6:F51" si="0">B5</f>
        <v>175.6</v>
      </c>
      <c r="G6">
        <f t="shared" ref="G6:G51" si="1">C5</f>
        <v>181</v>
      </c>
    </row>
    <row r="7" spans="1:7">
      <c r="A7" s="19">
        <v>3</v>
      </c>
      <c r="B7" s="10">
        <v>278.8</v>
      </c>
      <c r="C7" s="10">
        <v>294.2</v>
      </c>
      <c r="D7" s="10">
        <v>286.5</v>
      </c>
      <c r="F7">
        <f t="shared" si="0"/>
        <v>212.8</v>
      </c>
      <c r="G7">
        <f t="shared" si="1"/>
        <v>138.69999999999999</v>
      </c>
    </row>
    <row r="8" spans="1:7">
      <c r="A8" s="19">
        <v>4</v>
      </c>
      <c r="B8" s="10">
        <v>51.6</v>
      </c>
      <c r="C8" s="10">
        <v>112.6</v>
      </c>
      <c r="D8" s="10">
        <v>82.1</v>
      </c>
      <c r="F8">
        <f t="shared" si="0"/>
        <v>278.8</v>
      </c>
      <c r="G8">
        <f t="shared" si="1"/>
        <v>294.2</v>
      </c>
    </row>
    <row r="9" spans="1:7">
      <c r="A9" s="19">
        <v>5</v>
      </c>
      <c r="B9" s="10">
        <v>353.2</v>
      </c>
      <c r="C9" s="10">
        <v>443</v>
      </c>
      <c r="D9" s="10">
        <v>398.1</v>
      </c>
      <c r="F9">
        <f t="shared" si="0"/>
        <v>51.6</v>
      </c>
      <c r="G9">
        <f t="shared" si="1"/>
        <v>112.6</v>
      </c>
    </row>
    <row r="10" spans="1:7">
      <c r="A10" s="19">
        <v>6</v>
      </c>
      <c r="B10" s="10">
        <v>463.1</v>
      </c>
      <c r="C10" s="10">
        <v>500</v>
      </c>
      <c r="D10" s="10">
        <v>481.55</v>
      </c>
      <c r="F10">
        <f t="shared" si="0"/>
        <v>353.2</v>
      </c>
      <c r="G10">
        <f t="shared" si="1"/>
        <v>443</v>
      </c>
    </row>
    <row r="11" spans="1:7">
      <c r="A11" s="19">
        <v>7</v>
      </c>
      <c r="B11" s="10">
        <v>158.80000000000001</v>
      </c>
      <c r="C11" s="10">
        <v>160.9</v>
      </c>
      <c r="D11" s="10">
        <v>159.85000000000002</v>
      </c>
      <c r="F11">
        <f t="shared" si="0"/>
        <v>463.1</v>
      </c>
      <c r="G11">
        <f t="shared" si="1"/>
        <v>500</v>
      </c>
    </row>
    <row r="12" spans="1:7">
      <c r="A12" s="19">
        <v>8</v>
      </c>
      <c r="B12" s="10">
        <v>205.8</v>
      </c>
      <c r="C12" s="10">
        <v>128.5</v>
      </c>
      <c r="D12" s="10">
        <v>167.15</v>
      </c>
      <c r="F12">
        <f t="shared" si="0"/>
        <v>158.80000000000001</v>
      </c>
      <c r="G12">
        <f t="shared" si="1"/>
        <v>160.9</v>
      </c>
    </row>
    <row r="13" spans="1:7">
      <c r="A13" s="19">
        <v>9</v>
      </c>
      <c r="B13" s="10">
        <v>234.6</v>
      </c>
      <c r="C13" s="10">
        <v>106.6</v>
      </c>
      <c r="D13" s="10">
        <v>170.6</v>
      </c>
      <c r="F13">
        <f t="shared" si="0"/>
        <v>205.8</v>
      </c>
      <c r="G13">
        <f t="shared" si="1"/>
        <v>128.5</v>
      </c>
    </row>
    <row r="14" spans="1:7">
      <c r="A14" s="19">
        <v>10</v>
      </c>
      <c r="B14" s="10">
        <v>73.7</v>
      </c>
      <c r="C14" s="10">
        <v>135.4</v>
      </c>
      <c r="D14" s="10">
        <v>104.55000000000001</v>
      </c>
      <c r="F14">
        <f t="shared" si="0"/>
        <v>234.6</v>
      </c>
      <c r="G14">
        <f t="shared" si="1"/>
        <v>106.6</v>
      </c>
    </row>
    <row r="15" spans="1:7">
      <c r="A15" s="19">
        <v>11</v>
      </c>
      <c r="B15" s="10">
        <v>170.2</v>
      </c>
      <c r="C15" s="10">
        <v>146.80000000000001</v>
      </c>
      <c r="D15" s="10">
        <v>158.5</v>
      </c>
      <c r="F15">
        <f t="shared" si="0"/>
        <v>73.7</v>
      </c>
      <c r="G15">
        <f t="shared" si="1"/>
        <v>135.4</v>
      </c>
    </row>
    <row r="16" spans="1:7">
      <c r="A16" s="19">
        <v>12</v>
      </c>
      <c r="B16" s="10">
        <v>179</v>
      </c>
      <c r="C16" s="10">
        <v>295.60000000000002</v>
      </c>
      <c r="D16" s="10">
        <v>237.3</v>
      </c>
      <c r="F16">
        <f t="shared" si="0"/>
        <v>170.2</v>
      </c>
      <c r="G16">
        <f t="shared" si="1"/>
        <v>146.80000000000001</v>
      </c>
    </row>
    <row r="17" spans="1:7">
      <c r="A17" s="19">
        <v>13</v>
      </c>
      <c r="B17" s="10">
        <v>122.7</v>
      </c>
      <c r="C17" s="10">
        <v>66.400000000000006</v>
      </c>
      <c r="D17" s="10">
        <v>94.550000000000011</v>
      </c>
      <c r="F17">
        <f t="shared" si="0"/>
        <v>179</v>
      </c>
      <c r="G17">
        <f t="shared" si="1"/>
        <v>295.60000000000002</v>
      </c>
    </row>
    <row r="18" spans="1:7">
      <c r="A18" s="19">
        <v>14</v>
      </c>
      <c r="B18" s="10">
        <v>188.3</v>
      </c>
      <c r="C18" s="10">
        <v>213.8</v>
      </c>
      <c r="D18" s="10">
        <v>201.05</v>
      </c>
      <c r="F18">
        <f t="shared" si="0"/>
        <v>122.7</v>
      </c>
      <c r="G18">
        <f t="shared" si="1"/>
        <v>66.400000000000006</v>
      </c>
    </row>
    <row r="19" spans="1:7">
      <c r="A19" s="19">
        <v>15</v>
      </c>
      <c r="B19" s="10">
        <v>211.1</v>
      </c>
      <c r="C19" s="10">
        <v>197.1</v>
      </c>
      <c r="D19" s="10">
        <v>204.1</v>
      </c>
      <c r="F19">
        <f t="shared" si="0"/>
        <v>188.3</v>
      </c>
      <c r="G19">
        <f t="shared" si="1"/>
        <v>213.8</v>
      </c>
    </row>
    <row r="20" spans="1:7">
      <c r="A20" s="19">
        <v>16</v>
      </c>
      <c r="B20" s="10">
        <v>54.3</v>
      </c>
      <c r="C20" s="10">
        <v>118</v>
      </c>
      <c r="D20" s="10">
        <v>86.15</v>
      </c>
      <c r="F20">
        <f t="shared" si="0"/>
        <v>211.1</v>
      </c>
      <c r="G20">
        <f t="shared" si="1"/>
        <v>197.1</v>
      </c>
    </row>
    <row r="21" spans="1:7">
      <c r="A21" s="19">
        <v>17</v>
      </c>
      <c r="B21" s="10">
        <v>103.2</v>
      </c>
      <c r="C21" s="10">
        <v>110.6</v>
      </c>
      <c r="D21" s="10">
        <v>106.9</v>
      </c>
      <c r="F21">
        <f t="shared" si="0"/>
        <v>54.3</v>
      </c>
      <c r="G21">
        <f t="shared" si="1"/>
        <v>118</v>
      </c>
    </row>
    <row r="22" spans="1:7">
      <c r="A22" s="19">
        <v>18</v>
      </c>
      <c r="B22" s="10">
        <v>302.3</v>
      </c>
      <c r="C22" s="10">
        <v>127.3</v>
      </c>
      <c r="D22" s="10">
        <v>214.8</v>
      </c>
      <c r="F22">
        <f t="shared" si="0"/>
        <v>103.2</v>
      </c>
      <c r="G22">
        <f t="shared" si="1"/>
        <v>110.6</v>
      </c>
    </row>
    <row r="23" spans="1:7">
      <c r="A23" s="19">
        <v>19</v>
      </c>
      <c r="B23" s="10">
        <v>379.4</v>
      </c>
      <c r="C23" s="10">
        <v>149.5</v>
      </c>
      <c r="D23" s="10">
        <v>264.45</v>
      </c>
      <c r="F23">
        <f t="shared" si="0"/>
        <v>302.3</v>
      </c>
      <c r="G23">
        <f t="shared" si="1"/>
        <v>127.3</v>
      </c>
    </row>
    <row r="24" spans="1:7">
      <c r="A24" s="19">
        <v>20</v>
      </c>
      <c r="B24" s="10">
        <v>212.2</v>
      </c>
      <c r="C24" s="10">
        <v>113.9</v>
      </c>
      <c r="D24" s="10">
        <v>163.05000000000001</v>
      </c>
      <c r="F24">
        <f t="shared" si="0"/>
        <v>379.4</v>
      </c>
      <c r="G24">
        <f t="shared" si="1"/>
        <v>149.5</v>
      </c>
    </row>
    <row r="25" spans="1:7">
      <c r="A25" s="19">
        <v>21</v>
      </c>
      <c r="B25" s="10">
        <v>489.9</v>
      </c>
      <c r="C25" s="10">
        <v>191.7</v>
      </c>
      <c r="D25" s="10">
        <v>340.79999999999995</v>
      </c>
      <c r="F25">
        <f t="shared" si="0"/>
        <v>212.2</v>
      </c>
      <c r="G25">
        <f t="shared" si="1"/>
        <v>113.9</v>
      </c>
    </row>
    <row r="26" spans="1:7">
      <c r="A26" s="19">
        <v>22</v>
      </c>
      <c r="B26" s="10">
        <v>215.8</v>
      </c>
      <c r="C26" s="10">
        <v>244</v>
      </c>
      <c r="D26" s="10">
        <v>229.9</v>
      </c>
      <c r="F26">
        <f t="shared" si="0"/>
        <v>489.9</v>
      </c>
      <c r="G26">
        <f t="shared" si="1"/>
        <v>191.7</v>
      </c>
    </row>
    <row r="27" spans="1:7">
      <c r="A27" s="19">
        <v>23</v>
      </c>
      <c r="B27" s="10">
        <v>131.4</v>
      </c>
      <c r="C27" s="10">
        <v>68.400000000000006</v>
      </c>
      <c r="D27" s="10">
        <v>99.9</v>
      </c>
      <c r="F27">
        <f t="shared" si="0"/>
        <v>215.8</v>
      </c>
      <c r="G27">
        <f t="shared" si="1"/>
        <v>244</v>
      </c>
    </row>
    <row r="28" spans="1:7">
      <c r="A28" s="19">
        <v>24</v>
      </c>
      <c r="B28" s="10">
        <v>246</v>
      </c>
      <c r="C28" s="10">
        <v>165.5</v>
      </c>
      <c r="D28" s="10">
        <v>205.75</v>
      </c>
      <c r="F28">
        <f t="shared" si="0"/>
        <v>131.4</v>
      </c>
      <c r="G28">
        <f t="shared" si="1"/>
        <v>68.400000000000006</v>
      </c>
    </row>
    <row r="29" spans="1:7">
      <c r="A29" s="19">
        <v>25</v>
      </c>
      <c r="B29" s="10">
        <v>345.2</v>
      </c>
      <c r="C29" s="10">
        <v>237.9</v>
      </c>
      <c r="D29" s="10">
        <v>291.55</v>
      </c>
      <c r="F29">
        <f t="shared" si="0"/>
        <v>246</v>
      </c>
      <c r="G29">
        <f t="shared" si="1"/>
        <v>165.5</v>
      </c>
    </row>
    <row r="30" spans="1:7">
      <c r="A30" s="19">
        <v>26</v>
      </c>
      <c r="B30" s="10">
        <v>183</v>
      </c>
      <c r="C30" s="10">
        <v>312.3</v>
      </c>
      <c r="D30" s="10">
        <v>247.65</v>
      </c>
      <c r="F30">
        <f t="shared" si="0"/>
        <v>345.2</v>
      </c>
      <c r="G30">
        <f t="shared" si="1"/>
        <v>237.9</v>
      </c>
    </row>
    <row r="31" spans="1:7">
      <c r="A31" s="19">
        <v>27</v>
      </c>
      <c r="B31" s="10">
        <v>164.2</v>
      </c>
      <c r="C31" s="10">
        <v>136.69999999999999</v>
      </c>
      <c r="D31" s="10">
        <v>150.44999999999999</v>
      </c>
      <c r="F31">
        <f t="shared" si="0"/>
        <v>183</v>
      </c>
      <c r="G31">
        <f t="shared" si="1"/>
        <v>312.3</v>
      </c>
    </row>
    <row r="32" spans="1:7">
      <c r="A32" s="19">
        <v>28</v>
      </c>
      <c r="B32" s="10">
        <v>241.1</v>
      </c>
      <c r="C32" s="10">
        <v>297.60000000000002</v>
      </c>
      <c r="D32" s="10">
        <v>269.35000000000002</v>
      </c>
      <c r="F32">
        <f t="shared" si="0"/>
        <v>164.2</v>
      </c>
      <c r="G32">
        <f t="shared" si="1"/>
        <v>136.69999999999999</v>
      </c>
    </row>
    <row r="33" spans="1:7">
      <c r="A33" s="19">
        <v>29</v>
      </c>
      <c r="B33" s="10">
        <v>261.2</v>
      </c>
      <c r="C33" s="10">
        <v>305</v>
      </c>
      <c r="D33" s="10">
        <v>283.10000000000002</v>
      </c>
      <c r="F33">
        <f t="shared" si="0"/>
        <v>241.1</v>
      </c>
      <c r="G33">
        <f t="shared" si="1"/>
        <v>297.60000000000002</v>
      </c>
    </row>
    <row r="34" spans="1:7">
      <c r="A34" s="19">
        <v>30</v>
      </c>
      <c r="B34" s="10">
        <v>166.2</v>
      </c>
      <c r="C34" s="10">
        <v>149.5</v>
      </c>
      <c r="D34" s="10">
        <v>157.85</v>
      </c>
      <c r="F34">
        <f t="shared" si="0"/>
        <v>261.2</v>
      </c>
      <c r="G34">
        <f t="shared" si="1"/>
        <v>305</v>
      </c>
    </row>
    <row r="35" spans="1:7">
      <c r="A35" s="19">
        <v>31</v>
      </c>
      <c r="B35" s="10">
        <v>461.6</v>
      </c>
      <c r="C35" s="10">
        <v>325.10000000000002</v>
      </c>
      <c r="D35" s="10">
        <v>393.35</v>
      </c>
      <c r="F35">
        <f t="shared" si="0"/>
        <v>166.2</v>
      </c>
      <c r="G35">
        <f t="shared" si="1"/>
        <v>149.5</v>
      </c>
    </row>
    <row r="36" spans="1:7">
      <c r="A36" s="19">
        <v>32</v>
      </c>
      <c r="B36" s="10">
        <v>211.8</v>
      </c>
      <c r="C36" s="10">
        <v>231.9</v>
      </c>
      <c r="D36" s="10">
        <v>221.85000000000002</v>
      </c>
      <c r="F36">
        <f t="shared" si="0"/>
        <v>461.6</v>
      </c>
      <c r="G36">
        <f t="shared" si="1"/>
        <v>325.10000000000002</v>
      </c>
    </row>
    <row r="37" spans="1:7">
      <c r="A37" s="19">
        <v>33</v>
      </c>
      <c r="B37" s="10">
        <v>187</v>
      </c>
      <c r="C37" s="10">
        <v>259.39999999999998</v>
      </c>
      <c r="D37" s="10">
        <v>223.2</v>
      </c>
      <c r="F37">
        <f t="shared" si="0"/>
        <v>211.8</v>
      </c>
      <c r="G37">
        <f t="shared" si="1"/>
        <v>231.9</v>
      </c>
    </row>
    <row r="38" spans="1:7">
      <c r="A38" s="19">
        <v>34</v>
      </c>
      <c r="B38" s="10">
        <v>307.60000000000002</v>
      </c>
      <c r="C38" s="10">
        <v>172.3</v>
      </c>
      <c r="D38" s="10">
        <v>239.95000000000002</v>
      </c>
      <c r="F38">
        <f t="shared" si="0"/>
        <v>187</v>
      </c>
      <c r="G38">
        <f t="shared" si="1"/>
        <v>259.39999999999998</v>
      </c>
    </row>
    <row r="39" spans="1:7">
      <c r="A39" s="19">
        <v>35</v>
      </c>
      <c r="B39" s="10">
        <v>477.9</v>
      </c>
      <c r="C39" s="10">
        <v>474.2</v>
      </c>
      <c r="D39" s="10">
        <v>476.04999999999995</v>
      </c>
      <c r="F39">
        <f t="shared" si="0"/>
        <v>307.60000000000002</v>
      </c>
      <c r="G39">
        <f t="shared" si="1"/>
        <v>172.3</v>
      </c>
    </row>
    <row r="40" spans="1:7">
      <c r="A40" s="19">
        <v>36</v>
      </c>
      <c r="B40" s="10">
        <v>246.6</v>
      </c>
      <c r="C40" s="10">
        <v>179</v>
      </c>
      <c r="D40" s="10">
        <v>212.8</v>
      </c>
      <c r="F40">
        <f t="shared" si="0"/>
        <v>477.9</v>
      </c>
      <c r="G40">
        <f t="shared" si="1"/>
        <v>474.2</v>
      </c>
    </row>
    <row r="41" spans="1:7">
      <c r="A41" s="19">
        <v>37</v>
      </c>
      <c r="B41" s="10">
        <v>278.8</v>
      </c>
      <c r="C41" s="10">
        <v>175.2</v>
      </c>
      <c r="D41" s="10">
        <v>227</v>
      </c>
      <c r="F41">
        <f t="shared" si="0"/>
        <v>246.6</v>
      </c>
      <c r="G41">
        <f t="shared" si="1"/>
        <v>179</v>
      </c>
    </row>
    <row r="42" spans="1:7">
      <c r="A42" s="19">
        <v>38</v>
      </c>
      <c r="B42" s="10">
        <v>258.7</v>
      </c>
      <c r="C42" s="10">
        <v>128.69999999999999</v>
      </c>
      <c r="D42" s="10">
        <v>193.7</v>
      </c>
      <c r="F42">
        <f t="shared" si="0"/>
        <v>278.8</v>
      </c>
      <c r="G42">
        <f t="shared" si="1"/>
        <v>175.2</v>
      </c>
    </row>
    <row r="43" spans="1:7">
      <c r="A43" s="19">
        <v>39</v>
      </c>
      <c r="B43" s="10">
        <v>195.7</v>
      </c>
      <c r="C43" s="10">
        <v>200.4</v>
      </c>
      <c r="D43" s="10">
        <v>198.05</v>
      </c>
      <c r="F43">
        <f t="shared" si="0"/>
        <v>258.7</v>
      </c>
      <c r="G43">
        <f t="shared" si="1"/>
        <v>128.69999999999999</v>
      </c>
    </row>
    <row r="44" spans="1:7">
      <c r="A44" s="19">
        <v>40</v>
      </c>
      <c r="B44" s="10">
        <v>243.3</v>
      </c>
      <c r="C44" s="10">
        <v>37.5</v>
      </c>
      <c r="D44" s="10">
        <v>140.4</v>
      </c>
      <c r="F44">
        <f t="shared" si="0"/>
        <v>195.7</v>
      </c>
      <c r="G44">
        <f t="shared" si="1"/>
        <v>200.4</v>
      </c>
    </row>
    <row r="45" spans="1:7">
      <c r="A45" s="19">
        <v>41</v>
      </c>
      <c r="B45" s="10">
        <v>233.9</v>
      </c>
      <c r="C45" s="10">
        <v>288.89999999999998</v>
      </c>
      <c r="D45" s="10">
        <v>261.39999999999998</v>
      </c>
      <c r="F45">
        <f t="shared" si="0"/>
        <v>243.3</v>
      </c>
      <c r="G45">
        <f t="shared" si="1"/>
        <v>37.5</v>
      </c>
    </row>
    <row r="46" spans="1:7">
      <c r="A46" s="19">
        <v>42</v>
      </c>
      <c r="B46" s="10">
        <v>158.80000000000001</v>
      </c>
      <c r="C46" s="10">
        <v>205.8</v>
      </c>
      <c r="D46" s="10">
        <v>182.3</v>
      </c>
      <c r="F46">
        <f t="shared" si="0"/>
        <v>233.9</v>
      </c>
      <c r="G46">
        <f t="shared" si="1"/>
        <v>288.89999999999998</v>
      </c>
    </row>
    <row r="47" spans="1:7">
      <c r="A47" s="19">
        <v>43</v>
      </c>
      <c r="B47" s="10">
        <v>500</v>
      </c>
      <c r="C47" s="10">
        <v>336.1</v>
      </c>
      <c r="D47" s="10">
        <v>418.05</v>
      </c>
      <c r="F47">
        <f t="shared" si="0"/>
        <v>158.80000000000001</v>
      </c>
      <c r="G47">
        <f t="shared" si="1"/>
        <v>205.8</v>
      </c>
    </row>
    <row r="48" spans="1:7">
      <c r="A48" s="19">
        <v>44</v>
      </c>
      <c r="B48" s="10">
        <v>194.4</v>
      </c>
      <c r="C48" s="10">
        <v>144.80000000000001</v>
      </c>
      <c r="D48" s="10">
        <v>169.60000000000002</v>
      </c>
      <c r="F48">
        <f t="shared" si="0"/>
        <v>500</v>
      </c>
      <c r="G48">
        <f t="shared" si="1"/>
        <v>336.1</v>
      </c>
    </row>
    <row r="49" spans="1:7">
      <c r="A49" s="19">
        <v>45</v>
      </c>
      <c r="B49" s="10">
        <v>180.3</v>
      </c>
      <c r="C49" s="10">
        <v>177.6</v>
      </c>
      <c r="D49" s="10">
        <v>178.95</v>
      </c>
      <c r="F49">
        <f t="shared" si="0"/>
        <v>194.4</v>
      </c>
      <c r="G49">
        <f t="shared" si="1"/>
        <v>144.80000000000001</v>
      </c>
    </row>
    <row r="50" spans="1:7">
      <c r="A50" s="19">
        <v>46</v>
      </c>
      <c r="B50" s="10">
        <v>247.3</v>
      </c>
      <c r="C50" s="10">
        <v>249.3</v>
      </c>
      <c r="D50" s="10">
        <v>248.3</v>
      </c>
      <c r="F50">
        <f t="shared" si="0"/>
        <v>180.3</v>
      </c>
      <c r="G50">
        <f t="shared" si="1"/>
        <v>177.6</v>
      </c>
    </row>
    <row r="51" spans="1:7">
      <c r="A51" s="19">
        <v>47</v>
      </c>
      <c r="B51" s="10">
        <v>81.099999999999994</v>
      </c>
      <c r="C51" s="10">
        <v>145.4</v>
      </c>
      <c r="D51" s="10">
        <v>113.25</v>
      </c>
      <c r="F51">
        <f t="shared" si="0"/>
        <v>247.3</v>
      </c>
      <c r="G51">
        <f t="shared" si="1"/>
        <v>249.3</v>
      </c>
    </row>
    <row r="52" spans="1:7">
      <c r="A52" s="19" t="s">
        <v>255</v>
      </c>
      <c r="B52" s="10">
        <v>234.88297872340422</v>
      </c>
      <c r="C52" s="10">
        <v>203.83191489361695</v>
      </c>
      <c r="D52" s="10">
        <v>219.35744680851067</v>
      </c>
    </row>
    <row r="54" spans="1:7">
      <c r="G54">
        <f>TTEST(F6:F51,G6:G51,2,1)</f>
        <v>2.0898250504868647E-2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Coding_binary</vt:lpstr>
      <vt:lpstr>Paired_by_subject</vt:lpstr>
      <vt:lpstr>Summary</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Eleonora</dc:creator>
  <cp:lastModifiedBy>Eleonora</cp:lastModifiedBy>
  <dcterms:created xsi:type="dcterms:W3CDTF">2026-07-09T07:40:47Z</dcterms:created>
  <dcterms:modified xsi:type="dcterms:W3CDTF">2026-07-13T13:44:40Z</dcterms:modified>
</cp:coreProperties>
</file>