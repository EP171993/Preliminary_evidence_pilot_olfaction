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d.docs.live.net/278f6de518f185e4/MyExperiments/sapienza/airup/"/>
    </mc:Choice>
  </mc:AlternateContent>
  <xr:revisionPtr revIDLastSave="1" documentId="8_{470AA46C-6E2E-40DE-86C1-C720A97AAF27}" xr6:coauthVersionLast="36" xr6:coauthVersionMax="36" xr10:uidLastSave="{85108FD7-A4CB-4A0B-994F-93F74573B3C6}"/>
  <bookViews>
    <workbookView xWindow="0" yWindow="0" windowWidth="23040" windowHeight="8364" activeTab="7" xr2:uid="{00000000-000D-0000-FFFF-FFFF00000000}"/>
  </bookViews>
  <sheets>
    <sheet name="Sheet0" sheetId="1" r:id="rId1"/>
    <sheet name="S" sheetId="7" r:id="rId2"/>
    <sheet name="smoothie" sheetId="4" r:id="rId3"/>
    <sheet name="orange" sheetId="5" r:id="rId4"/>
    <sheet name="Foglio1" sheetId="2" r:id="rId5"/>
    <sheet name="Foglio2" sheetId="3" r:id="rId6"/>
    <sheet name="Foglio5" sheetId="6" r:id="rId7"/>
    <sheet name="O" sheetId="8" r:id="rId8"/>
  </sheets>
  <definedNames>
    <definedName name="_xlnm._FilterDatabase" localSheetId="4" hidden="1">Foglio1!$A$1:$A$19</definedName>
    <definedName name="_xlnm._FilterDatabase" localSheetId="5" hidden="1">Foglio2!$A$1:$A$19</definedName>
    <definedName name="_xlnm._FilterDatabase" localSheetId="7" hidden="1">O!$S$1:$S$60</definedName>
    <definedName name="_xlnm._FilterDatabase" localSheetId="3" hidden="1">orange!$A$1:$I$69</definedName>
    <definedName name="_xlnm._FilterDatabase" localSheetId="1" hidden="1">S!$S$1:$S$60</definedName>
    <definedName name="_xlnm._FilterDatabase" localSheetId="0" hidden="1">Sheet0!$A$2:$Z$19</definedName>
    <definedName name="_xlnm._FilterDatabase" localSheetId="2" hidden="1">smoothie!$A$1:$I$66</definedName>
  </definedNames>
  <calcPr calcId="191029"/>
</workbook>
</file>

<file path=xl/calcChain.xml><?xml version="1.0" encoding="utf-8"?>
<calcChain xmlns="http://schemas.openxmlformats.org/spreadsheetml/2006/main">
  <c r="C92" i="4" l="1"/>
  <c r="G77" i="5" l="1"/>
  <c r="F77" i="5"/>
  <c r="E77" i="5"/>
  <c r="D77" i="5"/>
  <c r="C77" i="5"/>
  <c r="G74" i="5"/>
  <c r="F74" i="5"/>
  <c r="E74" i="5"/>
  <c r="D74" i="5"/>
  <c r="C74" i="5"/>
  <c r="K35" i="5"/>
  <c r="J35" i="5"/>
  <c r="K34" i="5"/>
  <c r="J34" i="5"/>
  <c r="K33" i="5"/>
  <c r="J33" i="5"/>
  <c r="K32" i="5"/>
  <c r="J32" i="5"/>
  <c r="K31" i="5"/>
  <c r="J31" i="5"/>
  <c r="K30" i="5"/>
  <c r="J30" i="5"/>
  <c r="K29" i="5"/>
  <c r="J29" i="5"/>
  <c r="K28" i="5"/>
  <c r="J28" i="5"/>
  <c r="K27" i="5"/>
  <c r="J27" i="5"/>
  <c r="K26" i="5"/>
  <c r="J26" i="5"/>
  <c r="K25" i="5"/>
  <c r="J25" i="5"/>
  <c r="K24" i="5"/>
  <c r="J24" i="5"/>
  <c r="K23" i="5"/>
  <c r="J23" i="5"/>
  <c r="K22" i="5"/>
  <c r="J22" i="5"/>
  <c r="K21" i="5"/>
  <c r="J21" i="5"/>
  <c r="K20" i="5"/>
  <c r="J20" i="5"/>
  <c r="K19" i="5"/>
  <c r="J19" i="5"/>
  <c r="K18" i="5"/>
  <c r="J18" i="5"/>
  <c r="K17" i="5"/>
  <c r="J17" i="5"/>
  <c r="K16" i="5"/>
  <c r="J16" i="5"/>
  <c r="K15" i="5"/>
  <c r="J15" i="5"/>
  <c r="K14" i="5"/>
  <c r="J14" i="5"/>
  <c r="K13" i="5"/>
  <c r="J13" i="5"/>
  <c r="K12" i="5"/>
  <c r="J12" i="5"/>
  <c r="K11" i="5"/>
  <c r="J11" i="5"/>
  <c r="K10" i="5"/>
  <c r="J10" i="5"/>
  <c r="K9" i="5"/>
  <c r="J9" i="5"/>
  <c r="K8" i="5"/>
  <c r="J8" i="5"/>
  <c r="K7" i="5"/>
  <c r="J7" i="5"/>
  <c r="K6" i="5"/>
  <c r="J6" i="5"/>
  <c r="K5" i="5"/>
  <c r="J5" i="5"/>
  <c r="K4" i="5"/>
  <c r="J4" i="5"/>
  <c r="K3" i="5"/>
  <c r="J3" i="5"/>
  <c r="K2" i="5"/>
  <c r="J2" i="5"/>
  <c r="G95" i="4"/>
  <c r="F95" i="4"/>
  <c r="E95" i="4"/>
  <c r="D95" i="4"/>
  <c r="C95" i="4"/>
  <c r="G92" i="4"/>
  <c r="F92" i="4"/>
  <c r="E92" i="4"/>
  <c r="D92" i="4"/>
  <c r="K34" i="4"/>
  <c r="J34" i="4"/>
  <c r="K33" i="4"/>
  <c r="J33" i="4"/>
  <c r="K30" i="4"/>
  <c r="J30" i="4"/>
  <c r="K29" i="4"/>
  <c r="J29" i="4"/>
  <c r="K26" i="4"/>
  <c r="J26" i="4"/>
  <c r="K24" i="4"/>
  <c r="J24" i="4"/>
  <c r="K23" i="4"/>
  <c r="J23" i="4"/>
  <c r="K21" i="4"/>
  <c r="J21" i="4"/>
  <c r="K18" i="4"/>
  <c r="J18" i="4"/>
  <c r="K17" i="4"/>
  <c r="J17" i="4"/>
  <c r="K14" i="4"/>
  <c r="J14" i="4"/>
  <c r="K12" i="4"/>
  <c r="J12" i="4"/>
  <c r="K11" i="4"/>
  <c r="J11" i="4"/>
  <c r="K8" i="4"/>
  <c r="J8" i="4"/>
  <c r="K7" i="4"/>
  <c r="J7" i="4"/>
  <c r="K5" i="4"/>
  <c r="J5" i="4"/>
  <c r="K3" i="4"/>
  <c r="J3" i="4"/>
  <c r="I29" i="2"/>
  <c r="X92" i="1"/>
  <c r="W92" i="1"/>
  <c r="V92" i="1"/>
  <c r="U92" i="1"/>
  <c r="T92" i="1"/>
  <c r="X89" i="1"/>
  <c r="W89" i="1"/>
  <c r="V89" i="1"/>
  <c r="U89" i="1"/>
  <c r="T89" i="1"/>
  <c r="AB36" i="1"/>
  <c r="AA36" i="1"/>
  <c r="AB35" i="1"/>
  <c r="AA35" i="1"/>
  <c r="AB34" i="1"/>
  <c r="AA34" i="1"/>
  <c r="AB33" i="1"/>
  <c r="AA33" i="1"/>
  <c r="AB32" i="1"/>
  <c r="AA32" i="1"/>
  <c r="AB31" i="1"/>
  <c r="AA31" i="1"/>
  <c r="AB30" i="1"/>
  <c r="AA30" i="1"/>
  <c r="AB29" i="1"/>
  <c r="AA29" i="1"/>
  <c r="AB28" i="1"/>
  <c r="AA28" i="1"/>
  <c r="AB27" i="1"/>
  <c r="AA27" i="1"/>
  <c r="AB26" i="1"/>
  <c r="AA26" i="1"/>
  <c r="AB25" i="1"/>
  <c r="AA25" i="1"/>
  <c r="AB24" i="1"/>
  <c r="AA24" i="1"/>
  <c r="AB23" i="1"/>
  <c r="AA23" i="1"/>
  <c r="AB22" i="1"/>
  <c r="AA22" i="1"/>
  <c r="AB21" i="1"/>
  <c r="AA21" i="1"/>
  <c r="AB20" i="1"/>
  <c r="AA20" i="1"/>
  <c r="AB19" i="1"/>
  <c r="AA19" i="1"/>
  <c r="AB18" i="1"/>
  <c r="AA18" i="1"/>
  <c r="AB17" i="1"/>
  <c r="AA17" i="1"/>
  <c r="AB16" i="1"/>
  <c r="AA16" i="1"/>
  <c r="AB15" i="1"/>
  <c r="AA15" i="1"/>
  <c r="AB14" i="1"/>
  <c r="AA14" i="1"/>
  <c r="AB13" i="1"/>
  <c r="AA13" i="1"/>
  <c r="AB12" i="1"/>
  <c r="AA12" i="1"/>
  <c r="AB11" i="1"/>
  <c r="AA11" i="1"/>
  <c r="AB10" i="1"/>
  <c r="AA10" i="1"/>
  <c r="AB9" i="1"/>
  <c r="AA9" i="1"/>
  <c r="AB8" i="1"/>
  <c r="AA8" i="1"/>
  <c r="AB7" i="1"/>
  <c r="AA7" i="1"/>
  <c r="AB6" i="1"/>
  <c r="AA6" i="1"/>
  <c r="AB5" i="1"/>
  <c r="AA5" i="1"/>
  <c r="AB4" i="1"/>
  <c r="AA4" i="1"/>
  <c r="AB3" i="1"/>
  <c r="AA3" i="1"/>
  <c r="AB89" i="1" l="1"/>
  <c r="K74" i="5"/>
</calcChain>
</file>

<file path=xl/sharedStrings.xml><?xml version="1.0" encoding="utf-8"?>
<sst xmlns="http://schemas.openxmlformats.org/spreadsheetml/2006/main" count="2952" uniqueCount="286">
  <si>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</si>
  <si>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</si>
  <si>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</si>
  <si>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</si>
  <si>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</si>
  <si>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</si>
  <si>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</si>
  <si>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</si>
  <si>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</si>
  <si>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</si>
  <si>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</si>
  <si>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</si>
  <si>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</si>
  <si>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</si>
  <si>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</si>
  <si>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</si>
  <si>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</si>
  <si>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1</t>
  </si>
  <si>
    <t>2</t>
  </si>
  <si>
    <t>3_1</t>
  </si>
  <si>
    <t>3_2</t>
  </si>
  <si>
    <t>3_3</t>
  </si>
  <si>
    <t>3_4</t>
  </si>
  <si>
    <t>3_5</t>
  </si>
  <si>
    <t>4</t>
  </si>
  <si>
    <t>5</t>
  </si>
  <si>
    <t>Start Date</t>
  </si>
  <si>
    <t>End Date</t>
  </si>
  <si>
    <t>Response Type</t>
  </si>
  <si>
    <t>IP Address</t>
  </si>
  <si>
    <t>Recorded Date</t>
  </si>
  <si>
    <t>Response ID</t>
  </si>
  <si>
    <t>Recipient Last Name</t>
  </si>
  <si>
    <t>Recipient First Name</t>
  </si>
  <si>
    <t>Recipient Email</t>
  </si>
  <si>
    <t>External Data Reference</t>
  </si>
  <si>
    <t>Location Latitude</t>
  </si>
  <si>
    <t>Location Longitude</t>
  </si>
  <si>
    <t>Distribution Channel</t>
  </si>
  <si>
    <t>User Language</t>
  </si>
  <si>
    <t>Codice soggetto</t>
  </si>
  <si>
    <t>Sessione</t>
  </si>
  <si>
    <t>Valuta la bevanda che hai appena bevuto.... - Quanto ti è piaciuta la bevanda?</t>
  </si>
  <si>
    <t>Valuta la bevanda che hai appena bevuto.... - Quante calorie pensi che questa bevanda contenga?</t>
  </si>
  <si>
    <t>Valuta la bevanda che hai appena bevuto.... - Quanto era intenso il sapore delle bevanda?</t>
  </si>
  <si>
    <t>Valuta la bevanda che hai appena bevuto.... - Quanti zuccheri pensi la bevanda contenga?</t>
  </si>
  <si>
    <t>Valuta la bevanda che hai appena bevuto.... - Quanti grassi pensi la bevanda contenga?</t>
  </si>
  <si>
    <t>Che bevanda era secondo te?</t>
  </si>
  <si>
    <t>Riesci a riconoscere alcuni degli ingredienti contenuti nella bevanda?</t>
  </si>
  <si>
    <t>S</t>
  </si>
  <si>
    <t>O</t>
  </si>
  <si>
    <t>151.100.75.66</t>
  </si>
  <si>
    <t>R_2094XUpu9MtV7Hf</t>
  </si>
  <si>
    <t/>
  </si>
  <si>
    <t>anonymous</t>
  </si>
  <si>
    <t>EN</t>
  </si>
  <si>
    <t>p1</t>
  </si>
  <si>
    <t>s</t>
  </si>
  <si>
    <t>tipo redbull</t>
  </si>
  <si>
    <t xml:space="preserve">aroma fragola </t>
  </si>
  <si>
    <t>R_2FKWa7wz0T8xB1b</t>
  </si>
  <si>
    <t>o</t>
  </si>
  <si>
    <t>redbull con acqua</t>
  </si>
  <si>
    <t>aroma fragola</t>
  </si>
  <si>
    <t>R_8MKGIyFU4lgH8L8</t>
  </si>
  <si>
    <t>p3</t>
  </si>
  <si>
    <t xml:space="preserve">energy drink </t>
  </si>
  <si>
    <t xml:space="preserve">frutti rossi </t>
  </si>
  <si>
    <t>R_8rTAd3O8Xc5aNZY</t>
  </si>
  <si>
    <t xml:space="preserve">tisana </t>
  </si>
  <si>
    <t xml:space="preserve">nocciola, vaniglia </t>
  </si>
  <si>
    <t>R_8irmrzDcGOMibFz</t>
  </si>
  <si>
    <t>p4</t>
  </si>
  <si>
    <t>The alla pesca</t>
  </si>
  <si>
    <t>Pesca</t>
  </si>
  <si>
    <t>R_8aVRY6L0wQll4m5</t>
  </si>
  <si>
    <t>P4</t>
  </si>
  <si>
    <t>Bevanda all'arancia e cioccolato</t>
  </si>
  <si>
    <t>Arancia, cioccolato</t>
  </si>
  <si>
    <t>R_3k6Oxe6TvWl27nN</t>
  </si>
  <si>
    <t>p5</t>
  </si>
  <si>
    <t>Succo, Bevanda Proteica Sportiva</t>
  </si>
  <si>
    <t>Non credo ma c'è un retrogusto di caramello</t>
  </si>
  <si>
    <t>R_2M0uK4fA9fScVMh</t>
  </si>
  <si>
    <t>Bevanda di acqua mista a polvere integratore alimentare</t>
  </si>
  <si>
    <t>Non credo, era per la maggior parte acquosa con un retrogusto dolciastro e acido al contempo.</t>
  </si>
  <si>
    <t>R_2alFVHtyRWYmdSV</t>
  </si>
  <si>
    <t>P6</t>
  </si>
  <si>
    <t>ACQUA</t>
  </si>
  <si>
    <t>HO SENTITO UN LIEVE AROMA FRUTTATO COME DI FRAGOLA MA IN PIù SORSI L'HO SENTITO SOLO UNA O DUE VOLTE</t>
  </si>
  <si>
    <t>R_23700UZARCVJ5V7</t>
  </si>
  <si>
    <t>acqua</t>
  </si>
  <si>
    <t>sentivo un aroma come di the o caffe molto più forte rispetto al precedente</t>
  </si>
  <si>
    <t>R_2nyOOadJg1RtZV7</t>
  </si>
  <si>
    <t>p7</t>
  </si>
  <si>
    <t>Qualcosa di annacquato al cioccolato</t>
  </si>
  <si>
    <t>cacao</t>
  </si>
  <si>
    <t>R_2D7XUzksQd85KPY</t>
  </si>
  <si>
    <t>qualcosa ai frutti</t>
  </si>
  <si>
    <t>frutti generici</t>
  </si>
  <si>
    <t>R_2NxL51sbPcq4Owc</t>
  </si>
  <si>
    <t>p8</t>
  </si>
  <si>
    <t>bibita isotonica con elettroliti o sali minerali</t>
  </si>
  <si>
    <t>no</t>
  </si>
  <si>
    <t>R_82stekr6BXxn2vz</t>
  </si>
  <si>
    <t>bevanda energetica</t>
  </si>
  <si>
    <t>foglie di te</t>
  </si>
  <si>
    <t>R_2RW8L2ayz9DAYqk</t>
  </si>
  <si>
    <t>p9</t>
  </si>
  <si>
    <t>acqua aromatizzata all'arancia</t>
  </si>
  <si>
    <t>acqua, arancia limone</t>
  </si>
  <si>
    <t>R_2VgVuC5Zn5JzQdY</t>
  </si>
  <si>
    <t>non saprei</t>
  </si>
  <si>
    <t>acqua, aroma di nocciola e cacao</t>
  </si>
  <si>
    <t>R_2n3o5NEkTodWpXk</t>
  </si>
  <si>
    <t>p10</t>
  </si>
  <si>
    <t xml:space="preserve">acqua aromatizzata </t>
  </si>
  <si>
    <t>cacao, pistacchio</t>
  </si>
  <si>
    <t>R_8AYBqaw003WaBtF</t>
  </si>
  <si>
    <t>bagnoschiuma</t>
  </si>
  <si>
    <t>fiori, petali, vaniglia, frutta</t>
  </si>
  <si>
    <t>R_2DnB5czsT2FY4Qt</t>
  </si>
  <si>
    <t>p11</t>
  </si>
  <si>
    <t>vaniglia</t>
  </si>
  <si>
    <t>R_1YWUUfyY3Uwf0lj</t>
  </si>
  <si>
    <t>acqua aromatizzata</t>
  </si>
  <si>
    <t>aroma al cioccolato</t>
  </si>
  <si>
    <t>R_3FLZxOk04VDTPBM</t>
  </si>
  <si>
    <t>P13</t>
  </si>
  <si>
    <t>acqua naturale</t>
  </si>
  <si>
    <t>liquido acqua naturale</t>
  </si>
  <si>
    <t>R_3yefilgjIQflNM7</t>
  </si>
  <si>
    <t>P12</t>
  </si>
  <si>
    <t>acqua e sali minerali?</t>
  </si>
  <si>
    <t>fermenti lattici (tipo enterogermina?)</t>
  </si>
  <si>
    <t>R_3QFQbndg3D1y2cd</t>
  </si>
  <si>
    <t>p13</t>
  </si>
  <si>
    <t>no perche era acqua (era simile a quella di prima) non riesco a riconoscere ingredienti ma acqua con aggiunta di zuccheri</t>
  </si>
  <si>
    <t>R_5X7gBeGYZmMl8oc</t>
  </si>
  <si>
    <t>p12</t>
  </si>
  <si>
    <t>acqua e aromi e sali minerali</t>
  </si>
  <si>
    <t>aroma di ananas, kiwi, zenzero, anice(?)</t>
  </si>
  <si>
    <t>R_2dLx70D7Xw3ywrD</t>
  </si>
  <si>
    <t>p14</t>
  </si>
  <si>
    <t>R_8aNeO0Gbkm6rfW1</t>
  </si>
  <si>
    <t>acqua aromatizzata, più stucchevole della precedente, più nauseante</t>
  </si>
  <si>
    <t>R_8Or7q1DXTIw24P5</t>
  </si>
  <si>
    <t>p15</t>
  </si>
  <si>
    <t>non ne ho idea</t>
  </si>
  <si>
    <t>R_8rBJt4A0Cdyj0so</t>
  </si>
  <si>
    <t>tisana fredda</t>
  </si>
  <si>
    <t xml:space="preserve">cannella, pan di zenzero </t>
  </si>
  <si>
    <t>R_8dPF6bwd6KzZIOZ</t>
  </si>
  <si>
    <t>p16</t>
  </si>
  <si>
    <t>Acqua al cacao</t>
  </si>
  <si>
    <t>Cacao</t>
  </si>
  <si>
    <t>R_8FFgRs8taYUSxn3</t>
  </si>
  <si>
    <t>Acqua alla frutta</t>
  </si>
  <si>
    <t>Frutta</t>
  </si>
  <si>
    <t>R_29mHyFyTFZPGQCz</t>
  </si>
  <si>
    <t>p17</t>
  </si>
  <si>
    <t>un misto di acqua e tè caldo(pesca)</t>
  </si>
  <si>
    <t xml:space="preserve">acqua  e te caldo e zucchero  </t>
  </si>
  <si>
    <t>R_2PXKOtV4FGPEo40</t>
  </si>
  <si>
    <t xml:space="preserve">a mix of water with the taste of  Orange </t>
  </si>
  <si>
    <t>water and extract of Orange without sugar</t>
  </si>
  <si>
    <t>R_2JtTLJtT1JYUhhf</t>
  </si>
  <si>
    <t>P18</t>
  </si>
  <si>
    <t>TISANA</t>
  </si>
  <si>
    <t>ARANCIA E QUALCHE FIORE</t>
  </si>
  <si>
    <t>R_8aXeec2juOfe16c</t>
  </si>
  <si>
    <t>ANICE E LIQUIRIZA</t>
  </si>
  <si>
    <t>piaciuta la bevanda?</t>
  </si>
  <si>
    <t>calorie</t>
  </si>
  <si>
    <t xml:space="preserve"> intenso</t>
  </si>
  <si>
    <t xml:space="preserve">zuccheri </t>
  </si>
  <si>
    <t xml:space="preserve">grassi </t>
  </si>
  <si>
    <t>SMOOTHIE</t>
  </si>
  <si>
    <t>ORANGE</t>
  </si>
  <si>
    <t>R_2tbpiiQ7hBpYkJF</t>
  </si>
  <si>
    <t>p2</t>
  </si>
  <si>
    <t>acqua o carnitina</t>
  </si>
  <si>
    <t>arancia</t>
  </si>
  <si>
    <t>R_2qJ0PIvwiw33Q0X</t>
  </si>
  <si>
    <t>acqua con aroma ai frutti di bosco</t>
  </si>
  <si>
    <t>frutti di bosco</t>
  </si>
  <si>
    <t>176.201.159.222</t>
  </si>
  <si>
    <t>R_2P81LLOF1LUsErX</t>
  </si>
  <si>
    <t>p19</t>
  </si>
  <si>
    <t>acqua con zucchero</t>
  </si>
  <si>
    <t>zucchero, acqua, retrogusto di plastica</t>
  </si>
  <si>
    <t>R_8yLMqHd4zcIaAyl</t>
  </si>
  <si>
    <t>sciroppo di ciliegia</t>
  </si>
  <si>
    <t>acqua, zucchero, sciroppo di ciliegia</t>
  </si>
  <si>
    <t>151.100.156.31</t>
  </si>
  <si>
    <t>R_8EipZtXlHSVDtck</t>
  </si>
  <si>
    <t>p20</t>
  </si>
  <si>
    <t>Qualche succo di qualche frutto, ma senza zuccheri.</t>
  </si>
  <si>
    <t>No</t>
  </si>
  <si>
    <t>R_82SfEpQiRJgzojW</t>
  </si>
  <si>
    <t>Sempre una bevanda estratta dalla frutta.</t>
  </si>
  <si>
    <t>R_22igUTUmz7cd8ST</t>
  </si>
  <si>
    <t>p21</t>
  </si>
  <si>
    <t>Acqua</t>
  </si>
  <si>
    <t>R_81ucpI78xkAW4BP</t>
  </si>
  <si>
    <t>Acqua diluita con il caffè</t>
  </si>
  <si>
    <t>caffè</t>
  </si>
  <si>
    <t>R_8J3MoGFnfdigF6V</t>
  </si>
  <si>
    <t>p22</t>
  </si>
  <si>
    <t>acqua mista ad una polvere di cacao</t>
  </si>
  <si>
    <t>R_2dre3WANPxKUUuJ</t>
  </si>
  <si>
    <t>acqua con una aroma ai frutti</t>
  </si>
  <si>
    <t>no, solo acqua</t>
  </si>
  <si>
    <t>R_2w5diPgQJCuc1Sf</t>
  </si>
  <si>
    <t>p23</t>
  </si>
  <si>
    <t>tisana fredda aromatizzata</t>
  </si>
  <si>
    <t>R_2I5GE8wWjczOD6T</t>
  </si>
  <si>
    <t>anice e menta</t>
  </si>
  <si>
    <t>151.100.200.78</t>
  </si>
  <si>
    <t>R_2VsaXv4d8dMGtuO</t>
  </si>
  <si>
    <t>p24</t>
  </si>
  <si>
    <t>cioccolata</t>
  </si>
  <si>
    <t>cioccolata e caffe molto allungati con acqua</t>
  </si>
  <si>
    <t>R_8k81dRFSZ5aOzhT</t>
  </si>
  <si>
    <t>Acqua di rubinetto</t>
  </si>
  <si>
    <t>Tanta acqua e un pizzico di limone</t>
  </si>
  <si>
    <t>R_8r1kMRUEZTzG1ya</t>
  </si>
  <si>
    <t>p25</t>
  </si>
  <si>
    <t>Acqua aromatizzata</t>
  </si>
  <si>
    <t>Forse limone per il resto non so</t>
  </si>
  <si>
    <t>R_2aPKjSMDqfAVGxz</t>
  </si>
  <si>
    <t>forse cacao</t>
  </si>
  <si>
    <t>piacevolezza s</t>
  </si>
  <si>
    <t>calorie s</t>
  </si>
  <si>
    <t>intensita' s</t>
  </si>
  <si>
    <t>zuccheri s</t>
  </si>
  <si>
    <t>grassi s</t>
  </si>
  <si>
    <t>piacevolezza o</t>
  </si>
  <si>
    <t>calorie o</t>
  </si>
  <si>
    <t>intenoita' o</t>
  </si>
  <si>
    <t>zuccheri o</t>
  </si>
  <si>
    <t>graooi o</t>
  </si>
  <si>
    <t>intensita' o</t>
  </si>
  <si>
    <t>grassi o</t>
  </si>
  <si>
    <t xml:space="preserve">Che bevanda era secondo te O </t>
  </si>
  <si>
    <t>Che bevanda era secondo te S</t>
  </si>
  <si>
    <t>62.19.209.24</t>
  </si>
  <si>
    <t>R_21iD7DP3m719DkR</t>
  </si>
  <si>
    <t>p26</t>
  </si>
  <si>
    <t>Gatorade amaro</t>
  </si>
  <si>
    <t>Essenza artificiale di qualche frutto</t>
  </si>
  <si>
    <t>R_8oBZA2RfiKP33L6</t>
  </si>
  <si>
    <t>Acqua con essenza aromatiche e sali minerali</t>
  </si>
  <si>
    <t>Un dolcificante artificiale</t>
  </si>
  <si>
    <t>R_2xOiJahdl2SKjAt</t>
  </si>
  <si>
    <t>p27</t>
  </si>
  <si>
    <t>Medicinale</t>
  </si>
  <si>
    <t>Sciroppo, acqua, foglie</t>
  </si>
  <si>
    <t>R_83qkVipN1eOAaef</t>
  </si>
  <si>
    <t>Latte al cacao</t>
  </si>
  <si>
    <t>Cacao, latte, cannella</t>
  </si>
  <si>
    <t>R_2lry3w2ZuprmspQ</t>
  </si>
  <si>
    <t>p28</t>
  </si>
  <si>
    <t>aquavit</t>
  </si>
  <si>
    <t xml:space="preserve">cocco ananas leeches </t>
  </si>
  <si>
    <t>R_2X7MMDlVFWddGaq</t>
  </si>
  <si>
    <t>integratore</t>
  </si>
  <si>
    <t>frutta secca</t>
  </si>
  <si>
    <t>R_2zG4n1MhNCJbQPO</t>
  </si>
  <si>
    <t>p29</t>
  </si>
  <si>
    <t>vitamin water (medical)</t>
  </si>
  <si>
    <t>lemon</t>
  </si>
  <si>
    <t>R_2hooB3t3Kox3yp3</t>
  </si>
  <si>
    <t>R_8U437cIkbApqIB5</t>
  </si>
  <si>
    <t>p30</t>
  </si>
  <si>
    <t>Water with flavour</t>
  </si>
  <si>
    <t>chocolate flavour</t>
  </si>
  <si>
    <t>R_2hYe7WCD5zruKpV</t>
  </si>
  <si>
    <t>Banana milk shake</t>
  </si>
  <si>
    <t>oRANGE</t>
  </si>
  <si>
    <t>sessione</t>
  </si>
  <si>
    <t>sMooTHIE</t>
  </si>
  <si>
    <t>calorie pensi che questa bevanda contenga?</t>
  </si>
  <si>
    <t>intenso il sapore delle bevanda?</t>
  </si>
  <si>
    <t>zuccheri pensi la bevanda contenga?</t>
  </si>
  <si>
    <t>grassi pensi la bevanda contenga?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</si>
</sst>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B4C6E7"/>
        <bgColor rgb="FFB4C6E7"/>
      </patternFill>
    </fill>
    <fill>
      <patternFill patternType="solid">
        <fgColor theme="7"/>
        <bgColor theme="7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1"/>
  </cellStyleXfs>
  <cellXfs count="29">
    <xf numFmtId="0" fontId="0" fillId="0" borderId="0" xfId="0" applyFont="1" applyAlignment="1"/>
    <xf numFmtId="0" fontId="1" fillId="2" borderId="1" xfId="0" applyFont="1" applyFill="1" applyBorder="1"/>
    <xf numFmtId="22" fontId="1" fillId="3" borderId="1" xfId="0" applyNumberFormat="1" applyFont="1" applyFill="1" applyBorder="1"/>
    <xf numFmtId="0" fontId="1" fillId="3" borderId="1" xfId="0" applyFont="1" applyFill="1" applyBorder="1"/>
    <xf numFmtId="49" fontId="1" fillId="3" borderId="1" xfId="0" applyNumberFormat="1" applyFont="1" applyFill="1" applyBorder="1" applyAlignment="1">
      <alignment wrapText="1"/>
    </xf>
    <xf numFmtId="22" fontId="1" fillId="0" borderId="0" xfId="0" applyNumberFormat="1" applyFont="1"/>
    <xf numFmtId="0" fontId="2" fillId="0" borderId="0" xfId="0" applyFont="1"/>
    <xf numFmtId="49" fontId="1" fillId="0" borderId="0" xfId="0" applyNumberFormat="1" applyFont="1" applyAlignment="1">
      <alignment wrapText="1"/>
    </xf>
    <xf numFmtId="0" fontId="1" fillId="0" borderId="0" xfId="0" applyFont="1"/>
    <xf numFmtId="49" fontId="1" fillId="4" borderId="1" xfId="0" applyNumberFormat="1" applyFont="1" applyFill="1" applyBorder="1" applyAlignment="1">
      <alignment wrapText="1"/>
    </xf>
    <xf numFmtId="49" fontId="1" fillId="0" borderId="0" xfId="0" applyNumberFormat="1" applyFont="1"/>
    <xf numFmtId="2" fontId="1" fillId="0" borderId="0" xfId="0" applyNumberFormat="1" applyFont="1"/>
    <xf numFmtId="22" fontId="0" fillId="0" borderId="0" xfId="0" applyNumberFormat="1"/>
    <xf numFmtId="0" fontId="0" fillId="0" borderId="0" xfId="0"/>
    <xf numFmtId="49" fontId="0" fillId="0" borderId="0" xfId="0" applyNumberFormat="1" applyAlignment="1">
      <alignment wrapText="1"/>
    </xf>
    <xf numFmtId="22" fontId="0" fillId="5" borderId="0" xfId="0" applyNumberFormat="1" applyFill="1"/>
    <xf numFmtId="0" fontId="0" fillId="5" borderId="0" xfId="0" applyFill="1"/>
    <xf numFmtId="49" fontId="0" fillId="5" borderId="0" xfId="0" applyNumberFormat="1" applyFill="1" applyAlignment="1">
      <alignment wrapText="1"/>
    </xf>
    <xf numFmtId="0" fontId="0" fillId="5" borderId="0" xfId="0" applyFont="1" applyFill="1" applyAlignment="1"/>
    <xf numFmtId="0" fontId="1" fillId="3" borderId="1" xfId="0" applyFont="1" applyFill="1" applyBorder="1" applyAlignment="1"/>
    <xf numFmtId="0" fontId="3" fillId="0" borderId="1" xfId="1"/>
    <xf numFmtId="22" fontId="3" fillId="0" borderId="1" xfId="1" applyNumberFormat="1"/>
    <xf numFmtId="49" fontId="3" fillId="0" borderId="1" xfId="1" applyNumberFormat="1" applyAlignment="1">
      <alignment wrapText="1"/>
    </xf>
    <xf numFmtId="49" fontId="3" fillId="6" borderId="1" xfId="1" applyNumberFormat="1" applyFill="1" applyAlignment="1">
      <alignment wrapText="1"/>
    </xf>
    <xf numFmtId="0" fontId="3" fillId="6" borderId="1" xfId="1" applyFill="1"/>
    <xf numFmtId="22" fontId="0" fillId="0" borderId="0" xfId="0" applyNumberFormat="1" applyFill="1"/>
    <xf numFmtId="0" fontId="0" fillId="0" borderId="0" xfId="0" applyFill="1"/>
    <xf numFmtId="49" fontId="0" fillId="0" borderId="0" xfId="0" applyNumberFormat="1" applyFill="1" applyAlignment="1">
      <alignment wrapText="1"/>
    </xf>
    <xf numFmtId="0" fontId="0" fillId="0" borderId="0" xfId="0" applyFont="1" applyFill="1" applyAlignment="1"/>
  </cellXfs>
  <cellStyles count="2">
    <cellStyle name="Normale" xfId="0" builtinId="0"/>
    <cellStyle name="Normale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9"/>
  <sheetViews>
    <sheetView topLeftCell="C1" zoomScale="66" zoomScaleNormal="66" workbookViewId="0">
      <selection activeCell="C60" sqref="A1:XFD60"/>
    </sheetView>
  </sheetViews>
  <sheetFormatPr defaultColWidth="14.44140625" defaultRowHeight="14.4" x14ac:dyDescent="0.3"/>
  <cols>
    <col min="1" max="2" width="16.33203125" customWidth="1"/>
    <col min="3" max="3" width="9.109375" customWidth="1"/>
    <col min="4" max="4" width="8.6640625" customWidth="1"/>
    <col min="5" max="7" width="9.109375" customWidth="1"/>
    <col min="8" max="8" width="16.88671875" customWidth="1"/>
    <col min="9" max="13" width="8.6640625" customWidth="1"/>
    <col min="14" max="15" width="9.109375" customWidth="1"/>
    <col min="16" max="18" width="8.6640625" customWidth="1"/>
    <col min="19" max="19" width="13.44140625" customWidth="1"/>
    <col min="20" max="20" width="80.88671875" customWidth="1"/>
    <col min="21" max="21" width="101.6640625" customWidth="1"/>
    <col min="22" max="22" width="81.6640625" customWidth="1"/>
    <col min="23" max="23" width="81.5546875" customWidth="1"/>
    <col min="24" max="24" width="9.109375" customWidth="1"/>
    <col min="25" max="25" width="33.5546875" customWidth="1"/>
    <col min="26" max="26" width="72.33203125" customWidth="1"/>
    <col min="27" max="28" width="9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8" x14ac:dyDescent="0.3">
      <c r="A2" s="1" t="s">
        <v>26</v>
      </c>
      <c r="B2" s="1" t="s">
        <v>27</v>
      </c>
      <c r="C2" s="1" t="s">
        <v>28</v>
      </c>
      <c r="D2" s="1" t="s">
        <v>29</v>
      </c>
      <c r="E2" s="1" t="s">
        <v>4</v>
      </c>
      <c r="F2" s="1" t="s">
        <v>5</v>
      </c>
      <c r="G2" s="1" t="s">
        <v>6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40</v>
      </c>
      <c r="S2" s="1" t="s">
        <v>280</v>
      </c>
      <c r="T2" s="1" t="s">
        <v>42</v>
      </c>
      <c r="U2" s="1" t="s">
        <v>43</v>
      </c>
      <c r="V2" s="1" t="s">
        <v>44</v>
      </c>
      <c r="W2" s="1" t="s">
        <v>45</v>
      </c>
      <c r="X2" s="1" t="s">
        <v>46</v>
      </c>
      <c r="Y2" s="1" t="s">
        <v>47</v>
      </c>
      <c r="Z2" s="1" t="s">
        <v>48</v>
      </c>
      <c r="AA2" s="1" t="s">
        <v>49</v>
      </c>
      <c r="AB2" s="1" t="s">
        <v>50</v>
      </c>
    </row>
    <row r="3" spans="1:28" ht="43.2" x14ac:dyDescent="0.3">
      <c r="A3" s="2">
        <v>45741.621493055558</v>
      </c>
      <c r="B3" s="2">
        <v>45741.640972222223</v>
      </c>
      <c r="C3" s="3">
        <v>0</v>
      </c>
      <c r="D3" s="4" t="s">
        <v>51</v>
      </c>
      <c r="E3" s="3">
        <v>100</v>
      </c>
      <c r="F3" s="3">
        <v>1683</v>
      </c>
      <c r="G3" s="3">
        <v>1</v>
      </c>
      <c r="H3" s="2">
        <v>45741.640982893521</v>
      </c>
      <c r="I3" s="4" t="s">
        <v>52</v>
      </c>
      <c r="J3" s="4" t="s">
        <v>53</v>
      </c>
      <c r="K3" s="4" t="s">
        <v>53</v>
      </c>
      <c r="L3" s="4" t="s">
        <v>53</v>
      </c>
      <c r="M3" s="4" t="s">
        <v>53</v>
      </c>
      <c r="N3" s="3">
        <v>41.890500000000003</v>
      </c>
      <c r="O3" s="3">
        <v>12.512700000000001</v>
      </c>
      <c r="P3" s="4" t="s">
        <v>54</v>
      </c>
      <c r="Q3" s="4" t="s">
        <v>55</v>
      </c>
      <c r="R3" s="4" t="s">
        <v>56</v>
      </c>
      <c r="S3" s="4" t="s">
        <v>57</v>
      </c>
      <c r="T3" s="3">
        <v>35</v>
      </c>
      <c r="U3" s="3">
        <v>72</v>
      </c>
      <c r="V3" s="3">
        <v>58</v>
      </c>
      <c r="W3" s="3">
        <v>74</v>
      </c>
      <c r="X3" s="3">
        <v>62</v>
      </c>
      <c r="Y3" s="4" t="s">
        <v>58</v>
      </c>
      <c r="Z3" s="4" t="s">
        <v>59</v>
      </c>
      <c r="AA3" s="3">
        <f t="shared" ref="AA3:AA36" si="0">IF(S3="S",U3,"")</f>
        <v>72</v>
      </c>
      <c r="AB3" s="3" t="str">
        <f t="shared" ref="AB3:AB36" si="1">IF(S3="O",U3,"")</f>
        <v/>
      </c>
    </row>
    <row r="4" spans="1:28" ht="43.2" x14ac:dyDescent="0.3">
      <c r="A4" s="5">
        <v>45741.651724537034</v>
      </c>
      <c r="B4" s="5">
        <v>45741.652557870373</v>
      </c>
      <c r="C4" s="6">
        <v>0</v>
      </c>
      <c r="D4" s="7" t="s">
        <v>51</v>
      </c>
      <c r="E4" s="6">
        <v>100</v>
      </c>
      <c r="F4" s="6">
        <v>72</v>
      </c>
      <c r="G4" s="6">
        <v>1</v>
      </c>
      <c r="H4" s="5">
        <v>45741.652572604165</v>
      </c>
      <c r="I4" s="7" t="s">
        <v>60</v>
      </c>
      <c r="J4" s="7" t="s">
        <v>53</v>
      </c>
      <c r="K4" s="7" t="s">
        <v>53</v>
      </c>
      <c r="L4" s="7" t="s">
        <v>53</v>
      </c>
      <c r="M4" s="7" t="s">
        <v>53</v>
      </c>
      <c r="N4" s="6">
        <v>41.890500000000003</v>
      </c>
      <c r="O4" s="6">
        <v>12.512700000000001</v>
      </c>
      <c r="P4" s="7" t="s">
        <v>54</v>
      </c>
      <c r="Q4" s="7" t="s">
        <v>55</v>
      </c>
      <c r="R4" s="7" t="s">
        <v>56</v>
      </c>
      <c r="S4" s="7" t="s">
        <v>61</v>
      </c>
      <c r="T4" s="6">
        <v>31</v>
      </c>
      <c r="U4" s="6">
        <v>76</v>
      </c>
      <c r="V4" s="6">
        <v>56</v>
      </c>
      <c r="W4" s="6">
        <v>73</v>
      </c>
      <c r="X4" s="6">
        <v>65</v>
      </c>
      <c r="Y4" s="7" t="s">
        <v>62</v>
      </c>
      <c r="Z4" s="7" t="s">
        <v>63</v>
      </c>
      <c r="AA4" s="8" t="str">
        <f t="shared" si="0"/>
        <v/>
      </c>
      <c r="AB4" s="8">
        <f t="shared" si="1"/>
        <v>76</v>
      </c>
    </row>
    <row r="5" spans="1:28" ht="43.2" x14ac:dyDescent="0.3">
      <c r="A5" s="2">
        <v>45741.674224537041</v>
      </c>
      <c r="B5" s="2">
        <v>45741.677581018521</v>
      </c>
      <c r="C5" s="3">
        <v>0</v>
      </c>
      <c r="D5" s="4" t="s">
        <v>51</v>
      </c>
      <c r="E5" s="3">
        <v>100</v>
      </c>
      <c r="F5" s="3">
        <v>289</v>
      </c>
      <c r="G5" s="3">
        <v>1</v>
      </c>
      <c r="H5" s="2">
        <v>45741.67760427083</v>
      </c>
      <c r="I5" s="4" t="s">
        <v>64</v>
      </c>
      <c r="J5" s="4" t="s">
        <v>53</v>
      </c>
      <c r="K5" s="4" t="s">
        <v>53</v>
      </c>
      <c r="L5" s="4" t="s">
        <v>53</v>
      </c>
      <c r="M5" s="4" t="s">
        <v>53</v>
      </c>
      <c r="N5" s="3">
        <v>41.890500000000003</v>
      </c>
      <c r="O5" s="3">
        <v>12.512700000000001</v>
      </c>
      <c r="P5" s="4" t="s">
        <v>54</v>
      </c>
      <c r="Q5" s="4" t="s">
        <v>55</v>
      </c>
      <c r="R5" s="4" t="s">
        <v>65</v>
      </c>
      <c r="S5" s="4" t="s">
        <v>57</v>
      </c>
      <c r="T5" s="3">
        <v>10</v>
      </c>
      <c r="U5" s="3">
        <v>46</v>
      </c>
      <c r="V5" s="3">
        <v>78</v>
      </c>
      <c r="W5" s="3">
        <v>68</v>
      </c>
      <c r="X5" s="3">
        <v>12</v>
      </c>
      <c r="Y5" s="4" t="s">
        <v>66</v>
      </c>
      <c r="Z5" s="4" t="s">
        <v>67</v>
      </c>
      <c r="AA5" s="3">
        <f t="shared" si="0"/>
        <v>46</v>
      </c>
      <c r="AB5" s="3" t="str">
        <f t="shared" si="1"/>
        <v/>
      </c>
    </row>
    <row r="6" spans="1:28" ht="43.2" x14ac:dyDescent="0.3">
      <c r="A6" s="5">
        <v>45741.684942129628</v>
      </c>
      <c r="B6" s="5">
        <v>45741.689444444448</v>
      </c>
      <c r="C6" s="6">
        <v>0</v>
      </c>
      <c r="D6" s="7" t="s">
        <v>51</v>
      </c>
      <c r="E6" s="6">
        <v>100</v>
      </c>
      <c r="F6" s="6">
        <v>389</v>
      </c>
      <c r="G6" s="6">
        <v>1</v>
      </c>
      <c r="H6" s="5">
        <v>45741.689456030093</v>
      </c>
      <c r="I6" s="7" t="s">
        <v>68</v>
      </c>
      <c r="J6" s="7" t="s">
        <v>53</v>
      </c>
      <c r="K6" s="7" t="s">
        <v>53</v>
      </c>
      <c r="L6" s="7" t="s">
        <v>53</v>
      </c>
      <c r="M6" s="7" t="s">
        <v>53</v>
      </c>
      <c r="N6" s="6">
        <v>41.890500000000003</v>
      </c>
      <c r="O6" s="6">
        <v>12.512700000000001</v>
      </c>
      <c r="P6" s="7" t="s">
        <v>54</v>
      </c>
      <c r="Q6" s="7" t="s">
        <v>55</v>
      </c>
      <c r="R6" s="7" t="s">
        <v>65</v>
      </c>
      <c r="S6" s="7" t="s">
        <v>61</v>
      </c>
      <c r="T6" s="6">
        <v>39</v>
      </c>
      <c r="U6" s="6">
        <v>14</v>
      </c>
      <c r="V6" s="6">
        <v>60</v>
      </c>
      <c r="W6" s="6">
        <v>25</v>
      </c>
      <c r="X6" s="6">
        <v>5</v>
      </c>
      <c r="Y6" s="7" t="s">
        <v>69</v>
      </c>
      <c r="Z6" s="7" t="s">
        <v>70</v>
      </c>
      <c r="AA6" s="8" t="str">
        <f t="shared" si="0"/>
        <v/>
      </c>
      <c r="AB6" s="8">
        <f t="shared" si="1"/>
        <v>14</v>
      </c>
    </row>
    <row r="7" spans="1:28" ht="43.2" x14ac:dyDescent="0.3">
      <c r="A7" s="2">
        <v>45741.697824074072</v>
      </c>
      <c r="B7" s="2">
        <v>45741.703703703701</v>
      </c>
      <c r="C7" s="3">
        <v>0</v>
      </c>
      <c r="D7" s="4" t="s">
        <v>51</v>
      </c>
      <c r="E7" s="3">
        <v>100</v>
      </c>
      <c r="F7" s="3">
        <v>507</v>
      </c>
      <c r="G7" s="3">
        <v>1</v>
      </c>
      <c r="H7" s="2">
        <v>45741.70370716435</v>
      </c>
      <c r="I7" s="4" t="s">
        <v>71</v>
      </c>
      <c r="J7" s="4" t="s">
        <v>53</v>
      </c>
      <c r="K7" s="4" t="s">
        <v>53</v>
      </c>
      <c r="L7" s="4" t="s">
        <v>53</v>
      </c>
      <c r="M7" s="4" t="s">
        <v>53</v>
      </c>
      <c r="N7" s="3">
        <v>41.890500000000003</v>
      </c>
      <c r="O7" s="3">
        <v>12.512700000000001</v>
      </c>
      <c r="P7" s="4" t="s">
        <v>54</v>
      </c>
      <c r="Q7" s="4" t="s">
        <v>55</v>
      </c>
      <c r="R7" s="4" t="s">
        <v>72</v>
      </c>
      <c r="S7" s="4" t="s">
        <v>57</v>
      </c>
      <c r="T7" s="3">
        <v>10</v>
      </c>
      <c r="U7" s="3">
        <v>8</v>
      </c>
      <c r="V7" s="3">
        <v>3</v>
      </c>
      <c r="W7" s="3">
        <v>25</v>
      </c>
      <c r="X7" s="3">
        <v>16</v>
      </c>
      <c r="Y7" s="4" t="s">
        <v>73</v>
      </c>
      <c r="Z7" s="4" t="s">
        <v>74</v>
      </c>
      <c r="AA7" s="3">
        <f t="shared" si="0"/>
        <v>8</v>
      </c>
      <c r="AB7" s="3" t="str">
        <f t="shared" si="1"/>
        <v/>
      </c>
    </row>
    <row r="8" spans="1:28" ht="43.2" x14ac:dyDescent="0.3">
      <c r="A8" s="5">
        <v>45741.704247685186</v>
      </c>
      <c r="B8" s="5">
        <v>45741.709583333337</v>
      </c>
      <c r="C8" s="6">
        <v>0</v>
      </c>
      <c r="D8" s="7" t="s">
        <v>51</v>
      </c>
      <c r="E8" s="6">
        <v>100</v>
      </c>
      <c r="F8" s="6">
        <v>461</v>
      </c>
      <c r="G8" s="6">
        <v>1</v>
      </c>
      <c r="H8" s="5">
        <v>45741.709594467589</v>
      </c>
      <c r="I8" s="7" t="s">
        <v>75</v>
      </c>
      <c r="J8" s="7" t="s">
        <v>53</v>
      </c>
      <c r="K8" s="7" t="s">
        <v>53</v>
      </c>
      <c r="L8" s="7" t="s">
        <v>53</v>
      </c>
      <c r="M8" s="7" t="s">
        <v>53</v>
      </c>
      <c r="N8" s="6">
        <v>41.890500000000003</v>
      </c>
      <c r="O8" s="6">
        <v>12.512700000000001</v>
      </c>
      <c r="P8" s="7" t="s">
        <v>54</v>
      </c>
      <c r="Q8" s="7" t="s">
        <v>55</v>
      </c>
      <c r="R8" s="7" t="s">
        <v>76</v>
      </c>
      <c r="S8" s="7" t="s">
        <v>61</v>
      </c>
      <c r="T8" s="6">
        <v>34</v>
      </c>
      <c r="U8" s="6">
        <v>21</v>
      </c>
      <c r="V8" s="6">
        <v>21</v>
      </c>
      <c r="W8" s="6">
        <v>40</v>
      </c>
      <c r="X8" s="6">
        <v>18</v>
      </c>
      <c r="Y8" s="7" t="s">
        <v>77</v>
      </c>
      <c r="Z8" s="7" t="s">
        <v>78</v>
      </c>
      <c r="AA8" s="8" t="str">
        <f t="shared" si="0"/>
        <v/>
      </c>
      <c r="AB8" s="8">
        <f t="shared" si="1"/>
        <v>21</v>
      </c>
    </row>
    <row r="9" spans="1:28" ht="43.2" x14ac:dyDescent="0.3">
      <c r="A9" s="5">
        <v>45742.396701388891</v>
      </c>
      <c r="B9" s="5">
        <v>45742.425787037035</v>
      </c>
      <c r="C9" s="6">
        <v>0</v>
      </c>
      <c r="D9" s="7" t="s">
        <v>51</v>
      </c>
      <c r="E9" s="6">
        <v>100</v>
      </c>
      <c r="F9" s="6">
        <v>2513</v>
      </c>
      <c r="G9" s="6">
        <v>1</v>
      </c>
      <c r="H9" s="5">
        <v>45742.425811122688</v>
      </c>
      <c r="I9" s="7" t="s">
        <v>79</v>
      </c>
      <c r="J9" s="7" t="s">
        <v>53</v>
      </c>
      <c r="K9" s="7" t="s">
        <v>53</v>
      </c>
      <c r="L9" s="7" t="s">
        <v>53</v>
      </c>
      <c r="M9" s="7" t="s">
        <v>53</v>
      </c>
      <c r="N9" s="6">
        <v>41.890500000000003</v>
      </c>
      <c r="O9" s="6">
        <v>12.512700000000001</v>
      </c>
      <c r="P9" s="7" t="s">
        <v>54</v>
      </c>
      <c r="Q9" s="7" t="s">
        <v>55</v>
      </c>
      <c r="R9" s="7" t="s">
        <v>80</v>
      </c>
      <c r="S9" s="7" t="s">
        <v>61</v>
      </c>
      <c r="T9" s="6">
        <v>44</v>
      </c>
      <c r="U9" s="6">
        <v>64</v>
      </c>
      <c r="V9" s="6">
        <v>50</v>
      </c>
      <c r="W9" s="6">
        <v>24</v>
      </c>
      <c r="X9" s="6">
        <v>35</v>
      </c>
      <c r="Y9" s="7" t="s">
        <v>81</v>
      </c>
      <c r="Z9" s="7" t="s">
        <v>82</v>
      </c>
      <c r="AA9" s="8" t="str">
        <f t="shared" si="0"/>
        <v/>
      </c>
      <c r="AB9" s="8">
        <f t="shared" si="1"/>
        <v>64</v>
      </c>
    </row>
    <row r="10" spans="1:28" ht="43.2" x14ac:dyDescent="0.3">
      <c r="A10" s="2">
        <v>45742.429409722223</v>
      </c>
      <c r="B10" s="2">
        <v>45742.430694444447</v>
      </c>
      <c r="C10" s="3">
        <v>0</v>
      </c>
      <c r="D10" s="4" t="s">
        <v>51</v>
      </c>
      <c r="E10" s="3">
        <v>100</v>
      </c>
      <c r="F10" s="3">
        <v>111</v>
      </c>
      <c r="G10" s="3">
        <v>1</v>
      </c>
      <c r="H10" s="2">
        <v>45742.430704571758</v>
      </c>
      <c r="I10" s="4" t="s">
        <v>83</v>
      </c>
      <c r="J10" s="4" t="s">
        <v>53</v>
      </c>
      <c r="K10" s="4" t="s">
        <v>53</v>
      </c>
      <c r="L10" s="4" t="s">
        <v>53</v>
      </c>
      <c r="M10" s="4" t="s">
        <v>53</v>
      </c>
      <c r="N10" s="3">
        <v>41.890500000000003</v>
      </c>
      <c r="O10" s="3">
        <v>12.512700000000001</v>
      </c>
      <c r="P10" s="4" t="s">
        <v>54</v>
      </c>
      <c r="Q10" s="4" t="s">
        <v>55</v>
      </c>
      <c r="R10" s="4" t="s">
        <v>80</v>
      </c>
      <c r="S10" s="4" t="s">
        <v>57</v>
      </c>
      <c r="T10" s="3">
        <v>16</v>
      </c>
      <c r="U10" s="3">
        <v>53</v>
      </c>
      <c r="V10" s="3">
        <v>67</v>
      </c>
      <c r="W10" s="3">
        <v>58</v>
      </c>
      <c r="X10" s="3">
        <v>22</v>
      </c>
      <c r="Y10" s="4" t="s">
        <v>84</v>
      </c>
      <c r="Z10" s="4" t="s">
        <v>85</v>
      </c>
      <c r="AA10" s="3">
        <f t="shared" si="0"/>
        <v>53</v>
      </c>
      <c r="AB10" s="3" t="str">
        <f t="shared" si="1"/>
        <v/>
      </c>
    </row>
    <row r="11" spans="1:28" ht="43.2" x14ac:dyDescent="0.3">
      <c r="A11" s="2">
        <v>45742.457314814812</v>
      </c>
      <c r="B11" s="2">
        <v>45742.460972222223</v>
      </c>
      <c r="C11" s="3">
        <v>0</v>
      </c>
      <c r="D11" s="4" t="s">
        <v>51</v>
      </c>
      <c r="E11" s="3">
        <v>100</v>
      </c>
      <c r="F11" s="3">
        <v>316</v>
      </c>
      <c r="G11" s="3">
        <v>1</v>
      </c>
      <c r="H11" s="2">
        <v>45742.460985081016</v>
      </c>
      <c r="I11" s="4" t="s">
        <v>86</v>
      </c>
      <c r="J11" s="4" t="s">
        <v>53</v>
      </c>
      <c r="K11" s="4" t="s">
        <v>53</v>
      </c>
      <c r="L11" s="4" t="s">
        <v>53</v>
      </c>
      <c r="M11" s="4" t="s">
        <v>53</v>
      </c>
      <c r="N11" s="3">
        <v>41.890500000000003</v>
      </c>
      <c r="O11" s="3">
        <v>12.512700000000001</v>
      </c>
      <c r="P11" s="4" t="s">
        <v>54</v>
      </c>
      <c r="Q11" s="4" t="s">
        <v>55</v>
      </c>
      <c r="R11" s="4" t="s">
        <v>87</v>
      </c>
      <c r="S11" s="4" t="s">
        <v>57</v>
      </c>
      <c r="T11" s="3">
        <v>15</v>
      </c>
      <c r="U11" s="3">
        <v>0</v>
      </c>
      <c r="V11" s="3">
        <v>9</v>
      </c>
      <c r="W11" s="3">
        <v>0</v>
      </c>
      <c r="X11" s="3">
        <v>0</v>
      </c>
      <c r="Y11" s="4" t="s">
        <v>88</v>
      </c>
      <c r="Z11" s="4" t="s">
        <v>89</v>
      </c>
      <c r="AA11" s="3">
        <f t="shared" si="0"/>
        <v>0</v>
      </c>
      <c r="AB11" s="3" t="str">
        <f t="shared" si="1"/>
        <v/>
      </c>
    </row>
    <row r="12" spans="1:28" ht="43.2" x14ac:dyDescent="0.3">
      <c r="A12" s="5">
        <v>45742.461041666669</v>
      </c>
      <c r="B12" s="5">
        <v>45742.467430555553</v>
      </c>
      <c r="C12" s="6">
        <v>0</v>
      </c>
      <c r="D12" s="7" t="s">
        <v>51</v>
      </c>
      <c r="E12" s="6">
        <v>100</v>
      </c>
      <c r="F12" s="6">
        <v>551</v>
      </c>
      <c r="G12" s="6">
        <v>1</v>
      </c>
      <c r="H12" s="5">
        <v>45742.467440856482</v>
      </c>
      <c r="I12" s="7" t="s">
        <v>90</v>
      </c>
      <c r="J12" s="7" t="s">
        <v>53</v>
      </c>
      <c r="K12" s="7" t="s">
        <v>53</v>
      </c>
      <c r="L12" s="7" t="s">
        <v>53</v>
      </c>
      <c r="M12" s="7" t="s">
        <v>53</v>
      </c>
      <c r="N12" s="6">
        <v>41.890500000000003</v>
      </c>
      <c r="O12" s="6">
        <v>12.512700000000001</v>
      </c>
      <c r="P12" s="7" t="s">
        <v>54</v>
      </c>
      <c r="Q12" s="7" t="s">
        <v>55</v>
      </c>
      <c r="R12" s="7" t="s">
        <v>87</v>
      </c>
      <c r="S12" s="7" t="s">
        <v>61</v>
      </c>
      <c r="T12" s="6">
        <v>1</v>
      </c>
      <c r="U12" s="6">
        <v>0</v>
      </c>
      <c r="V12" s="6">
        <v>3</v>
      </c>
      <c r="W12" s="6">
        <v>0</v>
      </c>
      <c r="X12" s="6">
        <v>0</v>
      </c>
      <c r="Y12" s="7" t="s">
        <v>91</v>
      </c>
      <c r="Z12" s="7" t="s">
        <v>92</v>
      </c>
      <c r="AA12" s="8" t="str">
        <f t="shared" si="0"/>
        <v/>
      </c>
      <c r="AB12" s="8">
        <f t="shared" si="1"/>
        <v>0</v>
      </c>
    </row>
    <row r="13" spans="1:28" ht="43.2" x14ac:dyDescent="0.3">
      <c r="A13" s="5">
        <v>45742.477314814816</v>
      </c>
      <c r="B13" s="5">
        <v>45742.478402777779</v>
      </c>
      <c r="C13" s="6">
        <v>0</v>
      </c>
      <c r="D13" s="7" t="s">
        <v>51</v>
      </c>
      <c r="E13" s="6">
        <v>100</v>
      </c>
      <c r="F13" s="6">
        <v>93</v>
      </c>
      <c r="G13" s="6">
        <v>1</v>
      </c>
      <c r="H13" s="5">
        <v>45742.478417627317</v>
      </c>
      <c r="I13" s="7" t="s">
        <v>93</v>
      </c>
      <c r="J13" s="7" t="s">
        <v>53</v>
      </c>
      <c r="K13" s="7" t="s">
        <v>53</v>
      </c>
      <c r="L13" s="7" t="s">
        <v>53</v>
      </c>
      <c r="M13" s="7" t="s">
        <v>53</v>
      </c>
      <c r="N13" s="6">
        <v>41.890500000000003</v>
      </c>
      <c r="O13" s="6">
        <v>12.512700000000001</v>
      </c>
      <c r="P13" s="7" t="s">
        <v>54</v>
      </c>
      <c r="Q13" s="7" t="s">
        <v>55</v>
      </c>
      <c r="R13" s="7" t="s">
        <v>94</v>
      </c>
      <c r="S13" s="7" t="s">
        <v>61</v>
      </c>
      <c r="T13" s="6">
        <v>9</v>
      </c>
      <c r="U13" s="6">
        <v>9</v>
      </c>
      <c r="V13" s="6">
        <v>8</v>
      </c>
      <c r="W13" s="6">
        <v>21</v>
      </c>
      <c r="X13" s="6">
        <v>4</v>
      </c>
      <c r="Y13" s="7" t="s">
        <v>95</v>
      </c>
      <c r="Z13" s="7" t="s">
        <v>96</v>
      </c>
      <c r="AA13" s="8" t="str">
        <f t="shared" si="0"/>
        <v/>
      </c>
      <c r="AB13" s="8">
        <f t="shared" si="1"/>
        <v>9</v>
      </c>
    </row>
    <row r="14" spans="1:28" ht="43.2" x14ac:dyDescent="0.3">
      <c r="A14" s="2">
        <v>45742.478668981479</v>
      </c>
      <c r="B14" s="2">
        <v>45742.486203703702</v>
      </c>
      <c r="C14" s="3">
        <v>0</v>
      </c>
      <c r="D14" s="4" t="s">
        <v>51</v>
      </c>
      <c r="E14" s="3">
        <v>100</v>
      </c>
      <c r="F14" s="3">
        <v>650</v>
      </c>
      <c r="G14" s="3">
        <v>1</v>
      </c>
      <c r="H14" s="2">
        <v>45742.486214930555</v>
      </c>
      <c r="I14" s="4" t="s">
        <v>97</v>
      </c>
      <c r="J14" s="4" t="s">
        <v>53</v>
      </c>
      <c r="K14" s="4" t="s">
        <v>53</v>
      </c>
      <c r="L14" s="4" t="s">
        <v>53</v>
      </c>
      <c r="M14" s="4" t="s">
        <v>53</v>
      </c>
      <c r="N14" s="3">
        <v>41.890500000000003</v>
      </c>
      <c r="O14" s="3">
        <v>12.512700000000001</v>
      </c>
      <c r="P14" s="4" t="s">
        <v>54</v>
      </c>
      <c r="Q14" s="4" t="s">
        <v>55</v>
      </c>
      <c r="R14" s="4" t="s">
        <v>94</v>
      </c>
      <c r="S14" s="4" t="s">
        <v>57</v>
      </c>
      <c r="T14" s="3">
        <v>21</v>
      </c>
      <c r="U14" s="3">
        <v>31</v>
      </c>
      <c r="V14" s="3">
        <v>29</v>
      </c>
      <c r="W14" s="3">
        <v>32</v>
      </c>
      <c r="X14" s="3">
        <v>24</v>
      </c>
      <c r="Y14" s="4" t="s">
        <v>98</v>
      </c>
      <c r="Z14" s="4" t="s">
        <v>99</v>
      </c>
      <c r="AA14" s="3">
        <f t="shared" si="0"/>
        <v>31</v>
      </c>
      <c r="AB14" s="3" t="str">
        <f t="shared" si="1"/>
        <v/>
      </c>
    </row>
    <row r="15" spans="1:28" ht="43.2" x14ac:dyDescent="0.3">
      <c r="A15" s="5">
        <v>45742.488599537035</v>
      </c>
      <c r="B15" s="5">
        <v>45742.492060185185</v>
      </c>
      <c r="C15" s="6">
        <v>0</v>
      </c>
      <c r="D15" s="7" t="s">
        <v>51</v>
      </c>
      <c r="E15" s="6">
        <v>100</v>
      </c>
      <c r="F15" s="6">
        <v>299</v>
      </c>
      <c r="G15" s="6">
        <v>1</v>
      </c>
      <c r="H15" s="5">
        <v>45742.492074837966</v>
      </c>
      <c r="I15" s="7" t="s">
        <v>100</v>
      </c>
      <c r="J15" s="7" t="s">
        <v>53</v>
      </c>
      <c r="K15" s="7" t="s">
        <v>53</v>
      </c>
      <c r="L15" s="7" t="s">
        <v>53</v>
      </c>
      <c r="M15" s="7" t="s">
        <v>53</v>
      </c>
      <c r="N15" s="6">
        <v>41.890500000000003</v>
      </c>
      <c r="O15" s="6">
        <v>12.512700000000001</v>
      </c>
      <c r="P15" s="7" t="s">
        <v>54</v>
      </c>
      <c r="Q15" s="7" t="s">
        <v>55</v>
      </c>
      <c r="R15" s="7" t="s">
        <v>101</v>
      </c>
      <c r="S15" s="7" t="s">
        <v>61</v>
      </c>
      <c r="T15" s="6">
        <v>39</v>
      </c>
      <c r="U15" s="6">
        <v>3</v>
      </c>
      <c r="V15" s="6">
        <v>50</v>
      </c>
      <c r="W15" s="6">
        <v>1</v>
      </c>
      <c r="X15" s="6">
        <v>1</v>
      </c>
      <c r="Y15" s="7" t="s">
        <v>102</v>
      </c>
      <c r="Z15" s="7" t="s">
        <v>103</v>
      </c>
      <c r="AA15" s="8" t="str">
        <f t="shared" si="0"/>
        <v/>
      </c>
      <c r="AB15" s="8">
        <f t="shared" si="1"/>
        <v>3</v>
      </c>
    </row>
    <row r="16" spans="1:28" ht="43.2" x14ac:dyDescent="0.3">
      <c r="A16" s="2">
        <v>45742.492303240739</v>
      </c>
      <c r="B16" s="2">
        <v>45742.498159722221</v>
      </c>
      <c r="C16" s="3">
        <v>0</v>
      </c>
      <c r="D16" s="4" t="s">
        <v>51</v>
      </c>
      <c r="E16" s="3">
        <v>100</v>
      </c>
      <c r="F16" s="3">
        <v>505</v>
      </c>
      <c r="G16" s="3">
        <v>1</v>
      </c>
      <c r="H16" s="2">
        <v>45742.498168749997</v>
      </c>
      <c r="I16" s="4" t="s">
        <v>104</v>
      </c>
      <c r="J16" s="4" t="s">
        <v>53</v>
      </c>
      <c r="K16" s="4" t="s">
        <v>53</v>
      </c>
      <c r="L16" s="4" t="s">
        <v>53</v>
      </c>
      <c r="M16" s="4" t="s">
        <v>53</v>
      </c>
      <c r="N16" s="3">
        <v>41.890500000000003</v>
      </c>
      <c r="O16" s="3">
        <v>12.512700000000001</v>
      </c>
      <c r="P16" s="4" t="s">
        <v>54</v>
      </c>
      <c r="Q16" s="4" t="s">
        <v>55</v>
      </c>
      <c r="R16" s="4" t="s">
        <v>101</v>
      </c>
      <c r="S16" s="4" t="s">
        <v>57</v>
      </c>
      <c r="T16" s="3">
        <v>5</v>
      </c>
      <c r="U16" s="3">
        <v>1</v>
      </c>
      <c r="V16" s="3">
        <v>69</v>
      </c>
      <c r="W16" s="3">
        <v>3</v>
      </c>
      <c r="X16" s="3">
        <v>2</v>
      </c>
      <c r="Y16" s="4" t="s">
        <v>105</v>
      </c>
      <c r="Z16" s="4" t="s">
        <v>106</v>
      </c>
      <c r="AA16" s="3">
        <f t="shared" si="0"/>
        <v>1</v>
      </c>
      <c r="AB16" s="3" t="str">
        <f t="shared" si="1"/>
        <v/>
      </c>
    </row>
    <row r="17" spans="1:28" ht="43.2" x14ac:dyDescent="0.3">
      <c r="A17" s="2">
        <v>45742.594004629631</v>
      </c>
      <c r="B17" s="2">
        <v>45742.595613425925</v>
      </c>
      <c r="C17" s="3">
        <v>0</v>
      </c>
      <c r="D17" s="4" t="s">
        <v>51</v>
      </c>
      <c r="E17" s="3">
        <v>100</v>
      </c>
      <c r="F17" s="3">
        <v>139</v>
      </c>
      <c r="G17" s="3">
        <v>1</v>
      </c>
      <c r="H17" s="2">
        <v>45742.595626087961</v>
      </c>
      <c r="I17" s="4" t="s">
        <v>107</v>
      </c>
      <c r="J17" s="4" t="s">
        <v>53</v>
      </c>
      <c r="K17" s="4" t="s">
        <v>53</v>
      </c>
      <c r="L17" s="4" t="s">
        <v>53</v>
      </c>
      <c r="M17" s="4" t="s">
        <v>53</v>
      </c>
      <c r="N17" s="3">
        <v>41.890500000000003</v>
      </c>
      <c r="O17" s="3">
        <v>12.512700000000001</v>
      </c>
      <c r="P17" s="4" t="s">
        <v>54</v>
      </c>
      <c r="Q17" s="4" t="s">
        <v>55</v>
      </c>
      <c r="R17" s="4" t="s">
        <v>108</v>
      </c>
      <c r="S17" s="4" t="s">
        <v>57</v>
      </c>
      <c r="T17" s="3">
        <v>51</v>
      </c>
      <c r="U17" s="3">
        <v>8</v>
      </c>
      <c r="V17" s="3">
        <v>34</v>
      </c>
      <c r="W17" s="3">
        <v>6</v>
      </c>
      <c r="X17" s="3">
        <v>2</v>
      </c>
      <c r="Y17" s="4" t="s">
        <v>109</v>
      </c>
      <c r="Z17" s="4" t="s">
        <v>110</v>
      </c>
      <c r="AA17" s="3">
        <f t="shared" si="0"/>
        <v>8</v>
      </c>
      <c r="AB17" s="3" t="str">
        <f t="shared" si="1"/>
        <v/>
      </c>
    </row>
    <row r="18" spans="1:28" ht="43.2" x14ac:dyDescent="0.3">
      <c r="A18" s="5">
        <v>45742.596250000002</v>
      </c>
      <c r="B18" s="5">
        <v>45742.600868055553</v>
      </c>
      <c r="C18" s="6">
        <v>0</v>
      </c>
      <c r="D18" s="7" t="s">
        <v>51</v>
      </c>
      <c r="E18" s="6">
        <v>100</v>
      </c>
      <c r="F18" s="6">
        <v>398</v>
      </c>
      <c r="G18" s="6">
        <v>1</v>
      </c>
      <c r="H18" s="5">
        <v>45742.60087952546</v>
      </c>
      <c r="I18" s="7" t="s">
        <v>111</v>
      </c>
      <c r="J18" s="7" t="s">
        <v>53</v>
      </c>
      <c r="K18" s="7" t="s">
        <v>53</v>
      </c>
      <c r="L18" s="7" t="s">
        <v>53</v>
      </c>
      <c r="M18" s="7" t="s">
        <v>53</v>
      </c>
      <c r="N18" s="6">
        <v>41.890500000000003</v>
      </c>
      <c r="O18" s="6">
        <v>12.512700000000001</v>
      </c>
      <c r="P18" s="7" t="s">
        <v>54</v>
      </c>
      <c r="Q18" s="7" t="s">
        <v>55</v>
      </c>
      <c r="R18" s="7" t="s">
        <v>108</v>
      </c>
      <c r="S18" s="7" t="s">
        <v>61</v>
      </c>
      <c r="T18" s="6">
        <v>31</v>
      </c>
      <c r="U18" s="6">
        <v>13</v>
      </c>
      <c r="V18" s="6">
        <v>66</v>
      </c>
      <c r="W18" s="6">
        <v>5</v>
      </c>
      <c r="X18" s="6">
        <v>2</v>
      </c>
      <c r="Y18" s="7" t="s">
        <v>112</v>
      </c>
      <c r="Z18" s="7" t="s">
        <v>113</v>
      </c>
      <c r="AA18" s="8" t="str">
        <f t="shared" si="0"/>
        <v/>
      </c>
      <c r="AB18" s="8">
        <f t="shared" si="1"/>
        <v>13</v>
      </c>
    </row>
    <row r="19" spans="1:28" ht="43.2" x14ac:dyDescent="0.3">
      <c r="A19" s="5">
        <v>45742.683240740742</v>
      </c>
      <c r="B19" s="5">
        <v>45742.68855324074</v>
      </c>
      <c r="C19" s="6">
        <v>0</v>
      </c>
      <c r="D19" s="7" t="s">
        <v>51</v>
      </c>
      <c r="E19" s="6">
        <v>100</v>
      </c>
      <c r="F19" s="6">
        <v>459</v>
      </c>
      <c r="G19" s="6">
        <v>1</v>
      </c>
      <c r="H19" s="5">
        <v>45742.68856372685</v>
      </c>
      <c r="I19" s="7" t="s">
        <v>114</v>
      </c>
      <c r="J19" s="7" t="s">
        <v>53</v>
      </c>
      <c r="K19" s="7" t="s">
        <v>53</v>
      </c>
      <c r="L19" s="7" t="s">
        <v>53</v>
      </c>
      <c r="M19" s="7" t="s">
        <v>53</v>
      </c>
      <c r="N19" s="6">
        <v>41.890500000000003</v>
      </c>
      <c r="O19" s="6">
        <v>12.512700000000001</v>
      </c>
      <c r="P19" s="7" t="s">
        <v>54</v>
      </c>
      <c r="Q19" s="7" t="s">
        <v>55</v>
      </c>
      <c r="R19" s="7" t="s">
        <v>115</v>
      </c>
      <c r="S19" s="7" t="s">
        <v>61</v>
      </c>
      <c r="T19" s="6">
        <v>77</v>
      </c>
      <c r="U19" s="6">
        <v>4</v>
      </c>
      <c r="V19" s="6">
        <v>19</v>
      </c>
      <c r="W19" s="6">
        <v>9</v>
      </c>
      <c r="X19" s="6">
        <v>2</v>
      </c>
      <c r="Y19" s="7" t="s">
        <v>116</v>
      </c>
      <c r="Z19" s="7" t="s">
        <v>117</v>
      </c>
      <c r="AA19" s="8" t="str">
        <f t="shared" si="0"/>
        <v/>
      </c>
      <c r="AB19" s="8">
        <f t="shared" si="1"/>
        <v>4</v>
      </c>
    </row>
    <row r="20" spans="1:28" ht="43.2" x14ac:dyDescent="0.3">
      <c r="A20" s="2">
        <v>45742.689317129632</v>
      </c>
      <c r="B20" s="2">
        <v>45742.694571759261</v>
      </c>
      <c r="C20" s="3">
        <v>0</v>
      </c>
      <c r="D20" s="4" t="s">
        <v>51</v>
      </c>
      <c r="E20" s="3">
        <v>100</v>
      </c>
      <c r="F20" s="3">
        <v>453</v>
      </c>
      <c r="G20" s="3">
        <v>1</v>
      </c>
      <c r="H20" s="2">
        <v>45742.694577442133</v>
      </c>
      <c r="I20" s="4" t="s">
        <v>118</v>
      </c>
      <c r="J20" s="4" t="s">
        <v>53</v>
      </c>
      <c r="K20" s="4" t="s">
        <v>53</v>
      </c>
      <c r="L20" s="4" t="s">
        <v>53</v>
      </c>
      <c r="M20" s="4" t="s">
        <v>53</v>
      </c>
      <c r="N20" s="3">
        <v>41.890500000000003</v>
      </c>
      <c r="O20" s="3">
        <v>12.512700000000001</v>
      </c>
      <c r="P20" s="4" t="s">
        <v>54</v>
      </c>
      <c r="Q20" s="4" t="s">
        <v>55</v>
      </c>
      <c r="R20" s="4" t="s">
        <v>115</v>
      </c>
      <c r="S20" s="4" t="s">
        <v>57</v>
      </c>
      <c r="T20" s="3">
        <v>1</v>
      </c>
      <c r="U20" s="3">
        <v>8</v>
      </c>
      <c r="V20" s="3">
        <v>83</v>
      </c>
      <c r="W20" s="3">
        <v>16</v>
      </c>
      <c r="X20" s="3">
        <v>1</v>
      </c>
      <c r="Y20" s="4" t="s">
        <v>119</v>
      </c>
      <c r="Z20" s="4" t="s">
        <v>120</v>
      </c>
      <c r="AA20" s="3">
        <f t="shared" si="0"/>
        <v>8</v>
      </c>
      <c r="AB20" s="3" t="str">
        <f t="shared" si="1"/>
        <v/>
      </c>
    </row>
    <row r="21" spans="1:28" ht="43.2" x14ac:dyDescent="0.3">
      <c r="A21" s="2">
        <v>45743.661377314813</v>
      </c>
      <c r="B21" s="2">
        <v>45743.672615740739</v>
      </c>
      <c r="C21" s="3">
        <v>0</v>
      </c>
      <c r="D21" s="4" t="s">
        <v>51</v>
      </c>
      <c r="E21" s="3">
        <v>100</v>
      </c>
      <c r="F21" s="3">
        <v>970</v>
      </c>
      <c r="G21" s="3">
        <v>1</v>
      </c>
      <c r="H21" s="2">
        <v>45743.672624178238</v>
      </c>
      <c r="I21" s="4" t="s">
        <v>121</v>
      </c>
      <c r="J21" s="4" t="s">
        <v>53</v>
      </c>
      <c r="K21" s="4" t="s">
        <v>53</v>
      </c>
      <c r="L21" s="4" t="s">
        <v>53</v>
      </c>
      <c r="M21" s="4" t="s">
        <v>53</v>
      </c>
      <c r="N21" s="3">
        <v>41.890500000000003</v>
      </c>
      <c r="O21" s="3">
        <v>12.512700000000001</v>
      </c>
      <c r="P21" s="4" t="s">
        <v>54</v>
      </c>
      <c r="Q21" s="4" t="s">
        <v>55</v>
      </c>
      <c r="R21" s="4" t="s">
        <v>122</v>
      </c>
      <c r="S21" s="4" t="s">
        <v>57</v>
      </c>
      <c r="T21" s="3">
        <v>36</v>
      </c>
      <c r="U21" s="3">
        <v>0</v>
      </c>
      <c r="V21" s="3">
        <v>14</v>
      </c>
      <c r="W21" s="3">
        <v>0</v>
      </c>
      <c r="X21" s="3">
        <v>0</v>
      </c>
      <c r="Y21" s="4" t="s">
        <v>116</v>
      </c>
      <c r="Z21" s="4" t="s">
        <v>123</v>
      </c>
      <c r="AA21" s="3">
        <f t="shared" si="0"/>
        <v>0</v>
      </c>
      <c r="AB21" s="3" t="str">
        <f t="shared" si="1"/>
        <v/>
      </c>
    </row>
    <row r="22" spans="1:28" ht="43.2" x14ac:dyDescent="0.3">
      <c r="A22" s="5">
        <v>45743.672696759262</v>
      </c>
      <c r="B22" s="5">
        <v>45743.677002314813</v>
      </c>
      <c r="C22" s="6">
        <v>0</v>
      </c>
      <c r="D22" s="7" t="s">
        <v>51</v>
      </c>
      <c r="E22" s="6">
        <v>100</v>
      </c>
      <c r="F22" s="6">
        <v>371</v>
      </c>
      <c r="G22" s="6">
        <v>1</v>
      </c>
      <c r="H22" s="5">
        <v>45743.677012511573</v>
      </c>
      <c r="I22" s="7" t="s">
        <v>124</v>
      </c>
      <c r="J22" s="7" t="s">
        <v>53</v>
      </c>
      <c r="K22" s="7" t="s">
        <v>53</v>
      </c>
      <c r="L22" s="7" t="s">
        <v>53</v>
      </c>
      <c r="M22" s="7" t="s">
        <v>53</v>
      </c>
      <c r="N22" s="6">
        <v>41.890500000000003</v>
      </c>
      <c r="O22" s="6">
        <v>12.512700000000001</v>
      </c>
      <c r="P22" s="7" t="s">
        <v>54</v>
      </c>
      <c r="Q22" s="7" t="s">
        <v>55</v>
      </c>
      <c r="R22" s="7" t="s">
        <v>122</v>
      </c>
      <c r="S22" s="7" t="s">
        <v>61</v>
      </c>
      <c r="T22" s="6">
        <v>61</v>
      </c>
      <c r="U22" s="6">
        <v>0</v>
      </c>
      <c r="V22" s="6">
        <v>33</v>
      </c>
      <c r="W22" s="6">
        <v>0</v>
      </c>
      <c r="X22" s="6">
        <v>0</v>
      </c>
      <c r="Y22" s="7" t="s">
        <v>125</v>
      </c>
      <c r="Z22" s="7" t="s">
        <v>126</v>
      </c>
      <c r="AA22" s="8" t="str">
        <f t="shared" si="0"/>
        <v/>
      </c>
      <c r="AB22" s="8">
        <f t="shared" si="1"/>
        <v>0</v>
      </c>
    </row>
    <row r="23" spans="1:28" ht="43.2" x14ac:dyDescent="0.3">
      <c r="A23" s="2">
        <v>45747.405277777776</v>
      </c>
      <c r="B23" s="2">
        <v>45747.422569444447</v>
      </c>
      <c r="C23" s="3">
        <v>0</v>
      </c>
      <c r="D23" s="4" t="s">
        <v>51</v>
      </c>
      <c r="E23" s="3">
        <v>100</v>
      </c>
      <c r="F23" s="3">
        <v>1493</v>
      </c>
      <c r="G23" s="3">
        <v>1</v>
      </c>
      <c r="H23" s="2">
        <v>45747.422585682871</v>
      </c>
      <c r="I23" s="4" t="s">
        <v>127</v>
      </c>
      <c r="J23" s="4" t="s">
        <v>53</v>
      </c>
      <c r="K23" s="4" t="s">
        <v>53</v>
      </c>
      <c r="L23" s="4" t="s">
        <v>53</v>
      </c>
      <c r="M23" s="4" t="s">
        <v>53</v>
      </c>
      <c r="N23" s="3">
        <v>41.890500000000003</v>
      </c>
      <c r="O23" s="3">
        <v>12.512700000000001</v>
      </c>
      <c r="P23" s="4" t="s">
        <v>54</v>
      </c>
      <c r="Q23" s="4" t="s">
        <v>55</v>
      </c>
      <c r="R23" s="9" t="s">
        <v>128</v>
      </c>
      <c r="S23" s="4" t="s">
        <v>57</v>
      </c>
      <c r="T23" s="3">
        <v>94</v>
      </c>
      <c r="U23" s="3">
        <v>94</v>
      </c>
      <c r="V23" s="3">
        <v>100</v>
      </c>
      <c r="W23" s="3">
        <v>6</v>
      </c>
      <c r="X23" s="3">
        <v>1</v>
      </c>
      <c r="Y23" s="4" t="s">
        <v>129</v>
      </c>
      <c r="Z23" s="4" t="s">
        <v>130</v>
      </c>
      <c r="AA23" s="3">
        <f t="shared" si="0"/>
        <v>94</v>
      </c>
      <c r="AB23" s="3" t="str">
        <f t="shared" si="1"/>
        <v/>
      </c>
    </row>
    <row r="24" spans="1:28" ht="28.8" x14ac:dyDescent="0.3">
      <c r="A24" s="5">
        <v>45747.404872685183</v>
      </c>
      <c r="B24" s="5">
        <v>45747.430092592593</v>
      </c>
      <c r="C24" s="8">
        <v>0</v>
      </c>
      <c r="D24" s="7" t="s">
        <v>51</v>
      </c>
      <c r="E24" s="8">
        <v>100</v>
      </c>
      <c r="F24" s="8">
        <v>2179</v>
      </c>
      <c r="G24" s="8">
        <v>1</v>
      </c>
      <c r="H24" s="5">
        <v>45747.430107638887</v>
      </c>
      <c r="I24" s="7" t="s">
        <v>131</v>
      </c>
      <c r="J24" s="7" t="s">
        <v>53</v>
      </c>
      <c r="K24" s="7" t="s">
        <v>53</v>
      </c>
      <c r="L24" s="7" t="s">
        <v>53</v>
      </c>
      <c r="M24" s="7" t="s">
        <v>53</v>
      </c>
      <c r="N24" s="8">
        <v>41.890500000000003</v>
      </c>
      <c r="O24" s="8">
        <v>12.512700000000001</v>
      </c>
      <c r="P24" s="7" t="s">
        <v>54</v>
      </c>
      <c r="Q24" s="7" t="s">
        <v>55</v>
      </c>
      <c r="R24" s="7" t="s">
        <v>132</v>
      </c>
      <c r="S24" s="7" t="s">
        <v>61</v>
      </c>
      <c r="T24" s="8">
        <v>0</v>
      </c>
      <c r="U24" s="8">
        <v>0</v>
      </c>
      <c r="V24" s="8">
        <v>27</v>
      </c>
      <c r="W24" s="8">
        <v>0</v>
      </c>
      <c r="X24" s="8">
        <v>0</v>
      </c>
      <c r="Y24" s="7" t="s">
        <v>133</v>
      </c>
      <c r="Z24" s="7" t="s">
        <v>134</v>
      </c>
      <c r="AA24" s="8" t="str">
        <f t="shared" si="0"/>
        <v/>
      </c>
      <c r="AB24" s="8">
        <f t="shared" si="1"/>
        <v>0</v>
      </c>
    </row>
    <row r="25" spans="1:28" ht="43.2" x14ac:dyDescent="0.3">
      <c r="A25" s="5">
        <v>45747.432442129626</v>
      </c>
      <c r="B25" s="5">
        <v>45747.441331018519</v>
      </c>
      <c r="C25" s="6">
        <v>0</v>
      </c>
      <c r="D25" s="7" t="s">
        <v>51</v>
      </c>
      <c r="E25" s="6">
        <v>100</v>
      </c>
      <c r="F25" s="6">
        <v>767</v>
      </c>
      <c r="G25" s="6">
        <v>1</v>
      </c>
      <c r="H25" s="5">
        <v>45747.441338842589</v>
      </c>
      <c r="I25" s="7" t="s">
        <v>135</v>
      </c>
      <c r="J25" s="7" t="s">
        <v>53</v>
      </c>
      <c r="K25" s="7" t="s">
        <v>53</v>
      </c>
      <c r="L25" s="7" t="s">
        <v>53</v>
      </c>
      <c r="M25" s="7" t="s">
        <v>53</v>
      </c>
      <c r="N25" s="6">
        <v>41.890500000000003</v>
      </c>
      <c r="O25" s="6">
        <v>12.512700000000001</v>
      </c>
      <c r="P25" s="7" t="s">
        <v>54</v>
      </c>
      <c r="Q25" s="7" t="s">
        <v>55</v>
      </c>
      <c r="R25" s="9" t="s">
        <v>136</v>
      </c>
      <c r="S25" s="7" t="s">
        <v>61</v>
      </c>
      <c r="T25" s="6">
        <v>100</v>
      </c>
      <c r="U25" s="6">
        <v>97</v>
      </c>
      <c r="V25" s="6">
        <v>100</v>
      </c>
      <c r="W25" s="6">
        <v>50</v>
      </c>
      <c r="X25" s="6">
        <v>0</v>
      </c>
      <c r="Y25" s="7" t="s">
        <v>91</v>
      </c>
      <c r="Z25" s="7" t="s">
        <v>137</v>
      </c>
      <c r="AA25" s="8" t="str">
        <f t="shared" si="0"/>
        <v/>
      </c>
      <c r="AB25" s="8">
        <f t="shared" si="1"/>
        <v>97</v>
      </c>
    </row>
    <row r="26" spans="1:28" ht="43.2" x14ac:dyDescent="0.3">
      <c r="A26" s="2">
        <v>45747.432256944441</v>
      </c>
      <c r="B26" s="2">
        <v>45747.44195601852</v>
      </c>
      <c r="C26" s="3">
        <v>0</v>
      </c>
      <c r="D26" s="4" t="s">
        <v>51</v>
      </c>
      <c r="E26" s="3">
        <v>100</v>
      </c>
      <c r="F26" s="3">
        <v>838</v>
      </c>
      <c r="G26" s="3">
        <v>1</v>
      </c>
      <c r="H26" s="2">
        <v>45747.441966828701</v>
      </c>
      <c r="I26" s="4" t="s">
        <v>138</v>
      </c>
      <c r="J26" s="4" t="s">
        <v>53</v>
      </c>
      <c r="K26" s="4" t="s">
        <v>53</v>
      </c>
      <c r="L26" s="4" t="s">
        <v>53</v>
      </c>
      <c r="M26" s="4" t="s">
        <v>53</v>
      </c>
      <c r="N26" s="3">
        <v>41.890500000000003</v>
      </c>
      <c r="O26" s="3">
        <v>12.512700000000001</v>
      </c>
      <c r="P26" s="4" t="s">
        <v>54</v>
      </c>
      <c r="Q26" s="4" t="s">
        <v>55</v>
      </c>
      <c r="R26" s="4" t="s">
        <v>139</v>
      </c>
      <c r="S26" s="4" t="s">
        <v>57</v>
      </c>
      <c r="T26" s="3">
        <v>2</v>
      </c>
      <c r="U26" s="3">
        <v>0</v>
      </c>
      <c r="V26" s="3">
        <v>32</v>
      </c>
      <c r="W26" s="3">
        <v>0</v>
      </c>
      <c r="X26" s="3">
        <v>0</v>
      </c>
      <c r="Y26" s="4" t="s">
        <v>140</v>
      </c>
      <c r="Z26" s="4" t="s">
        <v>141</v>
      </c>
      <c r="AA26" s="3">
        <f t="shared" si="0"/>
        <v>0</v>
      </c>
      <c r="AB26" s="3" t="str">
        <f t="shared" si="1"/>
        <v/>
      </c>
    </row>
    <row r="27" spans="1:28" ht="43.2" x14ac:dyDescent="0.3">
      <c r="A27" s="5">
        <v>45751.46837962963</v>
      </c>
      <c r="B27" s="5">
        <v>45751.469560185185</v>
      </c>
      <c r="C27" s="6">
        <v>0</v>
      </c>
      <c r="D27" s="7" t="s">
        <v>51</v>
      </c>
      <c r="E27" s="6">
        <v>100</v>
      </c>
      <c r="F27" s="6">
        <v>102</v>
      </c>
      <c r="G27" s="6">
        <v>1</v>
      </c>
      <c r="H27" s="5">
        <v>45751.469573182869</v>
      </c>
      <c r="I27" s="7" t="s">
        <v>142</v>
      </c>
      <c r="J27" s="7" t="s">
        <v>53</v>
      </c>
      <c r="K27" s="7" t="s">
        <v>53</v>
      </c>
      <c r="L27" s="7" t="s">
        <v>53</v>
      </c>
      <c r="M27" s="7" t="s">
        <v>53</v>
      </c>
      <c r="N27" s="6">
        <v>41.890500000000003</v>
      </c>
      <c r="O27" s="6">
        <v>12.512700000000001</v>
      </c>
      <c r="P27" s="7" t="s">
        <v>54</v>
      </c>
      <c r="Q27" s="7" t="s">
        <v>55</v>
      </c>
      <c r="R27" s="7" t="s">
        <v>143</v>
      </c>
      <c r="S27" s="7" t="s">
        <v>61</v>
      </c>
      <c r="T27" s="6">
        <v>35</v>
      </c>
      <c r="U27" s="6">
        <v>9</v>
      </c>
      <c r="V27" s="6">
        <v>4</v>
      </c>
      <c r="W27" s="6">
        <v>8</v>
      </c>
      <c r="X27" s="6">
        <v>15</v>
      </c>
      <c r="Y27" s="7" t="s">
        <v>125</v>
      </c>
      <c r="Z27" s="7" t="s">
        <v>103</v>
      </c>
      <c r="AA27" s="8" t="str">
        <f t="shared" si="0"/>
        <v/>
      </c>
      <c r="AB27" s="8">
        <f t="shared" si="1"/>
        <v>9</v>
      </c>
    </row>
    <row r="28" spans="1:28" ht="43.2" x14ac:dyDescent="0.3">
      <c r="A28" s="2">
        <v>45751.470555555556</v>
      </c>
      <c r="B28" s="2">
        <v>45751.479363425926</v>
      </c>
      <c r="C28" s="3">
        <v>0</v>
      </c>
      <c r="D28" s="4" t="s">
        <v>51</v>
      </c>
      <c r="E28" s="3">
        <v>100</v>
      </c>
      <c r="F28" s="3">
        <v>760</v>
      </c>
      <c r="G28" s="3">
        <v>1</v>
      </c>
      <c r="H28" s="2">
        <v>45751.479378518517</v>
      </c>
      <c r="I28" s="4" t="s">
        <v>144</v>
      </c>
      <c r="J28" s="4" t="s">
        <v>53</v>
      </c>
      <c r="K28" s="4" t="s">
        <v>53</v>
      </c>
      <c r="L28" s="4" t="s">
        <v>53</v>
      </c>
      <c r="M28" s="4" t="s">
        <v>53</v>
      </c>
      <c r="N28" s="3">
        <v>41.890500000000003</v>
      </c>
      <c r="O28" s="3">
        <v>12.512700000000001</v>
      </c>
      <c r="P28" s="4" t="s">
        <v>54</v>
      </c>
      <c r="Q28" s="4" t="s">
        <v>55</v>
      </c>
      <c r="R28" s="4" t="s">
        <v>143</v>
      </c>
      <c r="S28" s="4" t="s">
        <v>57</v>
      </c>
      <c r="T28" s="3">
        <v>12</v>
      </c>
      <c r="U28" s="3">
        <v>4</v>
      </c>
      <c r="V28" s="3">
        <v>24</v>
      </c>
      <c r="W28" s="3">
        <v>5</v>
      </c>
      <c r="X28" s="3">
        <v>5</v>
      </c>
      <c r="Y28" s="4" t="s">
        <v>145</v>
      </c>
      <c r="Z28" s="4" t="s">
        <v>103</v>
      </c>
      <c r="AA28" s="3">
        <f t="shared" si="0"/>
        <v>4</v>
      </c>
      <c r="AB28" s="3" t="str">
        <f t="shared" si="1"/>
        <v/>
      </c>
    </row>
    <row r="29" spans="1:28" ht="43.2" x14ac:dyDescent="0.3">
      <c r="A29" s="2">
        <v>45833.533599537041</v>
      </c>
      <c r="B29" s="2">
        <v>45833.535011574073</v>
      </c>
      <c r="C29" s="3">
        <v>0</v>
      </c>
      <c r="D29" s="4" t="s">
        <v>51</v>
      </c>
      <c r="E29" s="3">
        <v>100</v>
      </c>
      <c r="F29" s="3">
        <v>121</v>
      </c>
      <c r="G29" s="3">
        <v>1</v>
      </c>
      <c r="H29" s="2">
        <v>45833.535019953706</v>
      </c>
      <c r="I29" s="4" t="s">
        <v>146</v>
      </c>
      <c r="J29" s="4" t="s">
        <v>53</v>
      </c>
      <c r="K29" s="4" t="s">
        <v>53</v>
      </c>
      <c r="L29" s="4" t="s">
        <v>53</v>
      </c>
      <c r="M29" s="4" t="s">
        <v>53</v>
      </c>
      <c r="N29" s="3">
        <v>41.292000000000002</v>
      </c>
      <c r="O29" s="3">
        <v>13.244</v>
      </c>
      <c r="P29" s="4" t="s">
        <v>54</v>
      </c>
      <c r="Q29" s="4" t="s">
        <v>55</v>
      </c>
      <c r="R29" s="4" t="s">
        <v>147</v>
      </c>
      <c r="S29" s="4" t="s">
        <v>57</v>
      </c>
      <c r="T29" s="3">
        <v>6</v>
      </c>
      <c r="U29" s="3">
        <v>13</v>
      </c>
      <c r="V29" s="3">
        <v>26</v>
      </c>
      <c r="W29" s="3">
        <v>15</v>
      </c>
      <c r="X29" s="3">
        <v>6</v>
      </c>
      <c r="Y29" s="4" t="s">
        <v>148</v>
      </c>
      <c r="Z29" s="4" t="s">
        <v>103</v>
      </c>
      <c r="AA29" s="3">
        <f t="shared" si="0"/>
        <v>13</v>
      </c>
      <c r="AB29" s="3" t="str">
        <f t="shared" si="1"/>
        <v/>
      </c>
    </row>
    <row r="30" spans="1:28" ht="43.2" x14ac:dyDescent="0.3">
      <c r="A30" s="5">
        <v>45833.535983796297</v>
      </c>
      <c r="B30" s="5">
        <v>45833.537800925929</v>
      </c>
      <c r="C30" s="8">
        <v>0</v>
      </c>
      <c r="D30" s="7" t="s">
        <v>51</v>
      </c>
      <c r="E30" s="8">
        <v>100</v>
      </c>
      <c r="F30" s="8">
        <v>157</v>
      </c>
      <c r="G30" s="8">
        <v>1</v>
      </c>
      <c r="H30" s="5">
        <v>45833.537811886577</v>
      </c>
      <c r="I30" s="7" t="s">
        <v>149</v>
      </c>
      <c r="J30" s="7" t="s">
        <v>53</v>
      </c>
      <c r="K30" s="7" t="s">
        <v>53</v>
      </c>
      <c r="L30" s="7" t="s">
        <v>53</v>
      </c>
      <c r="M30" s="7" t="s">
        <v>53</v>
      </c>
      <c r="N30" s="8">
        <v>41.292000000000002</v>
      </c>
      <c r="O30" s="8">
        <v>13.244</v>
      </c>
      <c r="P30" s="7" t="s">
        <v>54</v>
      </c>
      <c r="Q30" s="7" t="s">
        <v>55</v>
      </c>
      <c r="R30" s="7" t="s">
        <v>147</v>
      </c>
      <c r="S30" s="7" t="s">
        <v>61</v>
      </c>
      <c r="T30" s="8">
        <v>49</v>
      </c>
      <c r="U30" s="8">
        <v>13</v>
      </c>
      <c r="V30" s="8">
        <v>49</v>
      </c>
      <c r="W30" s="8">
        <v>14</v>
      </c>
      <c r="X30" s="8">
        <v>5</v>
      </c>
      <c r="Y30" s="7" t="s">
        <v>150</v>
      </c>
      <c r="Z30" s="7" t="s">
        <v>151</v>
      </c>
      <c r="AA30" s="8" t="str">
        <f t="shared" si="0"/>
        <v/>
      </c>
      <c r="AB30" s="8">
        <f t="shared" si="1"/>
        <v>13</v>
      </c>
    </row>
    <row r="31" spans="1:28" ht="43.2" x14ac:dyDescent="0.3">
      <c r="A31" s="5">
        <v>45833.563935185186</v>
      </c>
      <c r="B31" s="5">
        <v>45833.565879629627</v>
      </c>
      <c r="C31" s="8">
        <v>0</v>
      </c>
      <c r="D31" s="7" t="s">
        <v>51</v>
      </c>
      <c r="E31" s="8">
        <v>100</v>
      </c>
      <c r="F31" s="8">
        <v>167</v>
      </c>
      <c r="G31" s="8">
        <v>1</v>
      </c>
      <c r="H31" s="5">
        <v>45833.565886388889</v>
      </c>
      <c r="I31" s="7" t="s">
        <v>152</v>
      </c>
      <c r="J31" s="7" t="s">
        <v>53</v>
      </c>
      <c r="K31" s="7" t="s">
        <v>53</v>
      </c>
      <c r="L31" s="7" t="s">
        <v>53</v>
      </c>
      <c r="M31" s="7" t="s">
        <v>53</v>
      </c>
      <c r="N31" s="8">
        <v>41.292000000000002</v>
      </c>
      <c r="O31" s="8">
        <v>13.244</v>
      </c>
      <c r="P31" s="7" t="s">
        <v>54</v>
      </c>
      <c r="Q31" s="7" t="s">
        <v>55</v>
      </c>
      <c r="R31" s="7" t="s">
        <v>153</v>
      </c>
      <c r="S31" s="7" t="s">
        <v>61</v>
      </c>
      <c r="T31" s="8">
        <v>49</v>
      </c>
      <c r="U31" s="8">
        <v>23</v>
      </c>
      <c r="V31" s="8">
        <v>42</v>
      </c>
      <c r="W31" s="8">
        <v>29</v>
      </c>
      <c r="X31" s="8">
        <v>9</v>
      </c>
      <c r="Y31" s="7" t="s">
        <v>154</v>
      </c>
      <c r="Z31" s="7" t="s">
        <v>155</v>
      </c>
      <c r="AA31" s="8" t="str">
        <f t="shared" si="0"/>
        <v/>
      </c>
      <c r="AB31" s="8">
        <f t="shared" si="1"/>
        <v>23</v>
      </c>
    </row>
    <row r="32" spans="1:28" ht="43.2" x14ac:dyDescent="0.3">
      <c r="A32" s="2">
        <v>45833.570208333331</v>
      </c>
      <c r="B32" s="2">
        <v>45833.571180555555</v>
      </c>
      <c r="C32" s="3">
        <v>0</v>
      </c>
      <c r="D32" s="4" t="s">
        <v>51</v>
      </c>
      <c r="E32" s="3">
        <v>100</v>
      </c>
      <c r="F32" s="3">
        <v>84</v>
      </c>
      <c r="G32" s="3">
        <v>1</v>
      </c>
      <c r="H32" s="2">
        <v>45833.571194930555</v>
      </c>
      <c r="I32" s="4" t="s">
        <v>156</v>
      </c>
      <c r="J32" s="4" t="s">
        <v>53</v>
      </c>
      <c r="K32" s="4" t="s">
        <v>53</v>
      </c>
      <c r="L32" s="4" t="s">
        <v>53</v>
      </c>
      <c r="M32" s="4" t="s">
        <v>53</v>
      </c>
      <c r="N32" s="3">
        <v>41.292000000000002</v>
      </c>
      <c r="O32" s="3">
        <v>13.244</v>
      </c>
      <c r="P32" s="4" t="s">
        <v>54</v>
      </c>
      <c r="Q32" s="4" t="s">
        <v>55</v>
      </c>
      <c r="R32" s="4" t="s">
        <v>153</v>
      </c>
      <c r="S32" s="4" t="s">
        <v>57</v>
      </c>
      <c r="T32" s="3">
        <v>0</v>
      </c>
      <c r="U32" s="3">
        <v>9</v>
      </c>
      <c r="V32" s="3">
        <v>61</v>
      </c>
      <c r="W32" s="3">
        <v>8</v>
      </c>
      <c r="X32" s="3">
        <v>0</v>
      </c>
      <c r="Y32" s="4" t="s">
        <v>157</v>
      </c>
      <c r="Z32" s="4" t="s">
        <v>158</v>
      </c>
      <c r="AA32" s="3">
        <f t="shared" si="0"/>
        <v>9</v>
      </c>
      <c r="AB32" s="3" t="str">
        <f t="shared" si="1"/>
        <v/>
      </c>
    </row>
    <row r="33" spans="1:52" ht="43.2" x14ac:dyDescent="0.3">
      <c r="A33" s="2">
        <v>45835.489340277774</v>
      </c>
      <c r="B33" s="2">
        <v>45835.498564814814</v>
      </c>
      <c r="C33" s="3">
        <v>0</v>
      </c>
      <c r="D33" s="4" t="s">
        <v>51</v>
      </c>
      <c r="E33" s="3">
        <v>100</v>
      </c>
      <c r="F33" s="3">
        <v>797</v>
      </c>
      <c r="G33" s="3">
        <v>1</v>
      </c>
      <c r="H33" s="2">
        <v>45835.498575717589</v>
      </c>
      <c r="I33" s="4" t="s">
        <v>159</v>
      </c>
      <c r="J33" s="4" t="s">
        <v>53</v>
      </c>
      <c r="K33" s="4" t="s">
        <v>53</v>
      </c>
      <c r="L33" s="4" t="s">
        <v>53</v>
      </c>
      <c r="M33" s="4" t="s">
        <v>53</v>
      </c>
      <c r="N33" s="3">
        <v>41.890500000000003</v>
      </c>
      <c r="O33" s="3">
        <v>12.512700000000001</v>
      </c>
      <c r="P33" s="4" t="s">
        <v>54</v>
      </c>
      <c r="Q33" s="4" t="s">
        <v>55</v>
      </c>
      <c r="R33" s="4" t="s">
        <v>160</v>
      </c>
      <c r="S33" s="4" t="s">
        <v>57</v>
      </c>
      <c r="T33" s="3">
        <v>36</v>
      </c>
      <c r="U33" s="3">
        <v>6</v>
      </c>
      <c r="V33" s="3">
        <v>7</v>
      </c>
      <c r="W33" s="3">
        <v>5</v>
      </c>
      <c r="X33" s="3">
        <v>0</v>
      </c>
      <c r="Y33" s="4" t="s">
        <v>161</v>
      </c>
      <c r="Z33" s="4" t="s">
        <v>162</v>
      </c>
      <c r="AA33" s="3">
        <f t="shared" si="0"/>
        <v>6</v>
      </c>
      <c r="AB33" s="3" t="str">
        <f t="shared" si="1"/>
        <v/>
      </c>
    </row>
    <row r="34" spans="1:52" ht="43.2" x14ac:dyDescent="0.3">
      <c r="A34" s="5">
        <v>45835.498784722222</v>
      </c>
      <c r="B34" s="5">
        <v>45835.502627314818</v>
      </c>
      <c r="C34" s="8">
        <v>0</v>
      </c>
      <c r="D34" s="7" t="s">
        <v>51</v>
      </c>
      <c r="E34" s="8">
        <v>100</v>
      </c>
      <c r="F34" s="8">
        <v>331</v>
      </c>
      <c r="G34" s="8">
        <v>1</v>
      </c>
      <c r="H34" s="5">
        <v>45835.502640601851</v>
      </c>
      <c r="I34" s="7" t="s">
        <v>163</v>
      </c>
      <c r="J34" s="7" t="s">
        <v>53</v>
      </c>
      <c r="K34" s="7" t="s">
        <v>53</v>
      </c>
      <c r="L34" s="7" t="s">
        <v>53</v>
      </c>
      <c r="M34" s="7" t="s">
        <v>53</v>
      </c>
      <c r="N34" s="8">
        <v>41.890500000000003</v>
      </c>
      <c r="O34" s="8">
        <v>12.512700000000001</v>
      </c>
      <c r="P34" s="7" t="s">
        <v>54</v>
      </c>
      <c r="Q34" s="7" t="s">
        <v>55</v>
      </c>
      <c r="R34" s="7" t="s">
        <v>160</v>
      </c>
      <c r="S34" s="7" t="s">
        <v>61</v>
      </c>
      <c r="T34" s="8">
        <v>58</v>
      </c>
      <c r="U34" s="8">
        <v>4</v>
      </c>
      <c r="V34" s="8">
        <v>9</v>
      </c>
      <c r="W34" s="8">
        <v>1</v>
      </c>
      <c r="X34" s="8">
        <v>1</v>
      </c>
      <c r="Y34" s="7" t="s">
        <v>164</v>
      </c>
      <c r="Z34" s="7" t="s">
        <v>165</v>
      </c>
      <c r="AA34" s="8" t="str">
        <f t="shared" si="0"/>
        <v/>
      </c>
      <c r="AB34" s="8">
        <f t="shared" si="1"/>
        <v>4</v>
      </c>
    </row>
    <row r="35" spans="1:52" ht="28.8" x14ac:dyDescent="0.3">
      <c r="A35" s="5">
        <v>45840.566388888888</v>
      </c>
      <c r="B35" s="5">
        <v>45840.579930555556</v>
      </c>
      <c r="C35" s="8">
        <v>0</v>
      </c>
      <c r="D35" s="7" t="s">
        <v>51</v>
      </c>
      <c r="E35" s="8">
        <v>100</v>
      </c>
      <c r="F35" s="8">
        <v>1170</v>
      </c>
      <c r="G35" s="8">
        <v>1</v>
      </c>
      <c r="H35" s="5">
        <v>45840.579947245373</v>
      </c>
      <c r="I35" s="7" t="s">
        <v>166</v>
      </c>
      <c r="J35" s="7" t="s">
        <v>53</v>
      </c>
      <c r="K35" s="7" t="s">
        <v>53</v>
      </c>
      <c r="L35" s="7" t="s">
        <v>53</v>
      </c>
      <c r="M35" s="7" t="s">
        <v>53</v>
      </c>
      <c r="N35" s="8">
        <v>41.890500000000003</v>
      </c>
      <c r="O35" s="8">
        <v>12.512700000000001</v>
      </c>
      <c r="P35" s="7" t="s">
        <v>54</v>
      </c>
      <c r="Q35" s="7" t="s">
        <v>55</v>
      </c>
      <c r="R35" s="7" t="s">
        <v>167</v>
      </c>
      <c r="S35" s="7" t="s">
        <v>61</v>
      </c>
      <c r="T35" s="8">
        <v>6</v>
      </c>
      <c r="U35" s="8">
        <v>8</v>
      </c>
      <c r="V35" s="8">
        <v>6</v>
      </c>
      <c r="W35" s="8">
        <v>8</v>
      </c>
      <c r="X35" s="8">
        <v>0</v>
      </c>
      <c r="Y35" s="7" t="s">
        <v>168</v>
      </c>
      <c r="Z35" s="7" t="s">
        <v>169</v>
      </c>
      <c r="AA35" s="8" t="str">
        <f t="shared" si="0"/>
        <v/>
      </c>
      <c r="AB35" s="8">
        <f t="shared" si="1"/>
        <v>8</v>
      </c>
    </row>
    <row r="36" spans="1:52" ht="43.2" x14ac:dyDescent="0.3">
      <c r="A36" s="2">
        <v>45840.580428240741</v>
      </c>
      <c r="B36" s="2">
        <v>45840.583657407406</v>
      </c>
      <c r="C36" s="3">
        <v>0</v>
      </c>
      <c r="D36" s="4" t="s">
        <v>51</v>
      </c>
      <c r="E36" s="3">
        <v>100</v>
      </c>
      <c r="F36" s="3">
        <v>278</v>
      </c>
      <c r="G36" s="3">
        <v>1</v>
      </c>
      <c r="H36" s="2">
        <v>45840.583663379628</v>
      </c>
      <c r="I36" s="4" t="s">
        <v>170</v>
      </c>
      <c r="J36" s="4" t="s">
        <v>53</v>
      </c>
      <c r="K36" s="4" t="s">
        <v>53</v>
      </c>
      <c r="L36" s="4" t="s">
        <v>53</v>
      </c>
      <c r="M36" s="4" t="s">
        <v>53</v>
      </c>
      <c r="N36" s="3">
        <v>41.890500000000003</v>
      </c>
      <c r="O36" s="3">
        <v>12.512700000000001</v>
      </c>
      <c r="P36" s="4" t="s">
        <v>54</v>
      </c>
      <c r="Q36" s="4" t="s">
        <v>55</v>
      </c>
      <c r="R36" s="4" t="s">
        <v>167</v>
      </c>
      <c r="S36" s="4" t="s">
        <v>57</v>
      </c>
      <c r="T36" s="3">
        <v>26</v>
      </c>
      <c r="U36" s="3">
        <v>0</v>
      </c>
      <c r="V36" s="3">
        <v>16</v>
      </c>
      <c r="W36" s="3">
        <v>0</v>
      </c>
      <c r="X36" s="3">
        <v>0</v>
      </c>
      <c r="Y36" s="4" t="s">
        <v>168</v>
      </c>
      <c r="Z36" s="4" t="s">
        <v>171</v>
      </c>
      <c r="AA36" s="3">
        <f t="shared" si="0"/>
        <v>0</v>
      </c>
      <c r="AB36" s="3" t="str">
        <f t="shared" si="1"/>
        <v/>
      </c>
    </row>
    <row r="37" spans="1:52" s="18" customFormat="1" ht="43.2" x14ac:dyDescent="0.3">
      <c r="A37" s="15">
        <v>45930.623564814814</v>
      </c>
      <c r="B37" s="15">
        <v>45930.630914351852</v>
      </c>
      <c r="C37" s="16">
        <v>0</v>
      </c>
      <c r="D37" s="17" t="s">
        <v>186</v>
      </c>
      <c r="E37" s="16">
        <v>100</v>
      </c>
      <c r="F37" s="16">
        <v>634</v>
      </c>
      <c r="G37" s="16">
        <v>1</v>
      </c>
      <c r="H37" s="15">
        <v>45930.630924108795</v>
      </c>
      <c r="I37" s="17" t="s">
        <v>187</v>
      </c>
      <c r="J37" s="17" t="s">
        <v>53</v>
      </c>
      <c r="K37" s="17" t="s">
        <v>53</v>
      </c>
      <c r="L37" s="17" t="s">
        <v>53</v>
      </c>
      <c r="M37" s="17" t="s">
        <v>53</v>
      </c>
      <c r="N37" s="16">
        <v>41.890500000000003</v>
      </c>
      <c r="O37" s="16">
        <v>12.512700000000001</v>
      </c>
      <c r="P37" s="17" t="s">
        <v>54</v>
      </c>
      <c r="Q37" s="17" t="s">
        <v>55</v>
      </c>
      <c r="R37" s="17" t="s">
        <v>188</v>
      </c>
      <c r="S37" s="17" t="s">
        <v>57</v>
      </c>
      <c r="T37" s="16">
        <v>47</v>
      </c>
      <c r="U37" s="16">
        <v>14</v>
      </c>
      <c r="V37" s="16">
        <v>14</v>
      </c>
      <c r="W37" s="16">
        <v>19</v>
      </c>
      <c r="X37" s="16">
        <v>9</v>
      </c>
      <c r="Y37" s="17" t="s">
        <v>189</v>
      </c>
      <c r="Z37" s="17" t="s">
        <v>190</v>
      </c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</row>
    <row r="38" spans="1:52" ht="43.2" x14ac:dyDescent="0.3">
      <c r="A38" s="12">
        <v>45930.63108796296</v>
      </c>
      <c r="B38" s="12">
        <v>45930.635972222219</v>
      </c>
      <c r="C38" s="13">
        <v>0</v>
      </c>
      <c r="D38" s="14" t="s">
        <v>186</v>
      </c>
      <c r="E38" s="13">
        <v>100</v>
      </c>
      <c r="F38" s="13">
        <v>421</v>
      </c>
      <c r="G38" s="13">
        <v>1</v>
      </c>
      <c r="H38" s="12">
        <v>45930.635980949075</v>
      </c>
      <c r="I38" s="14" t="s">
        <v>191</v>
      </c>
      <c r="J38" s="14" t="s">
        <v>53</v>
      </c>
      <c r="K38" s="14" t="s">
        <v>53</v>
      </c>
      <c r="L38" s="14" t="s">
        <v>53</v>
      </c>
      <c r="M38" s="14" t="s">
        <v>53</v>
      </c>
      <c r="N38" s="13">
        <v>41.890500000000003</v>
      </c>
      <c r="O38" s="13">
        <v>12.512700000000001</v>
      </c>
      <c r="P38" s="14" t="s">
        <v>54</v>
      </c>
      <c r="Q38" s="14" t="s">
        <v>55</v>
      </c>
      <c r="R38" s="14" t="s">
        <v>188</v>
      </c>
      <c r="S38" s="14" t="s">
        <v>61</v>
      </c>
      <c r="T38" s="13">
        <v>1</v>
      </c>
      <c r="U38" s="13">
        <v>48</v>
      </c>
      <c r="V38" s="13">
        <v>78</v>
      </c>
      <c r="W38" s="13">
        <v>45</v>
      </c>
      <c r="X38" s="13">
        <v>30</v>
      </c>
      <c r="Y38" s="14" t="s">
        <v>192</v>
      </c>
      <c r="Z38" s="14" t="s">
        <v>193</v>
      </c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</row>
    <row r="39" spans="1:52" ht="43.2" x14ac:dyDescent="0.3">
      <c r="A39" s="12">
        <v>45938.527974537035</v>
      </c>
      <c r="B39" s="12">
        <v>45938.554155092592</v>
      </c>
      <c r="C39" s="13">
        <v>0</v>
      </c>
      <c r="D39" s="14" t="s">
        <v>194</v>
      </c>
      <c r="E39" s="13">
        <v>100</v>
      </c>
      <c r="F39" s="13">
        <v>2262</v>
      </c>
      <c r="G39" s="13">
        <v>1</v>
      </c>
      <c r="H39" s="12">
        <v>45938.554171006945</v>
      </c>
      <c r="I39" s="14" t="s">
        <v>195</v>
      </c>
      <c r="J39" s="14" t="s">
        <v>53</v>
      </c>
      <c r="K39" s="14" t="s">
        <v>53</v>
      </c>
      <c r="L39" s="14" t="s">
        <v>53</v>
      </c>
      <c r="M39" s="14" t="s">
        <v>53</v>
      </c>
      <c r="N39" s="13">
        <v>41.890500000000003</v>
      </c>
      <c r="O39" s="13">
        <v>12.512700000000001</v>
      </c>
      <c r="P39" s="14" t="s">
        <v>54</v>
      </c>
      <c r="Q39" s="14" t="s">
        <v>55</v>
      </c>
      <c r="R39" s="14" t="s">
        <v>196</v>
      </c>
      <c r="S39" s="14" t="s">
        <v>61</v>
      </c>
      <c r="T39" s="13">
        <v>16</v>
      </c>
      <c r="U39" s="13">
        <v>7</v>
      </c>
      <c r="V39" s="13">
        <v>1</v>
      </c>
      <c r="W39" s="13">
        <v>2</v>
      </c>
      <c r="X39" s="13">
        <v>0</v>
      </c>
      <c r="Y39" s="14" t="s">
        <v>197</v>
      </c>
      <c r="Z39" s="14" t="s">
        <v>198</v>
      </c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</row>
    <row r="40" spans="1:52" s="18" customFormat="1" ht="43.2" x14ac:dyDescent="0.3">
      <c r="A40" s="15">
        <v>45938.554293981484</v>
      </c>
      <c r="B40" s="15">
        <v>45938.556018518517</v>
      </c>
      <c r="C40" s="16">
        <v>0</v>
      </c>
      <c r="D40" s="17" t="s">
        <v>194</v>
      </c>
      <c r="E40" s="16">
        <v>100</v>
      </c>
      <c r="F40" s="16">
        <v>149</v>
      </c>
      <c r="G40" s="16">
        <v>1</v>
      </c>
      <c r="H40" s="15">
        <v>45938.556033321758</v>
      </c>
      <c r="I40" s="17" t="s">
        <v>199</v>
      </c>
      <c r="J40" s="17" t="s">
        <v>53</v>
      </c>
      <c r="K40" s="17" t="s">
        <v>53</v>
      </c>
      <c r="L40" s="17" t="s">
        <v>53</v>
      </c>
      <c r="M40" s="17" t="s">
        <v>53</v>
      </c>
      <c r="N40" s="16">
        <v>41.890500000000003</v>
      </c>
      <c r="O40" s="16">
        <v>12.512700000000001</v>
      </c>
      <c r="P40" s="17" t="s">
        <v>54</v>
      </c>
      <c r="Q40" s="17" t="s">
        <v>55</v>
      </c>
      <c r="R40" s="17" t="s">
        <v>196</v>
      </c>
      <c r="S40" s="17" t="s">
        <v>57</v>
      </c>
      <c r="T40" s="16">
        <v>39</v>
      </c>
      <c r="U40" s="16">
        <v>10</v>
      </c>
      <c r="V40" s="16">
        <v>30</v>
      </c>
      <c r="W40" s="16">
        <v>17</v>
      </c>
      <c r="X40" s="16">
        <v>1</v>
      </c>
      <c r="Y40" s="17" t="s">
        <v>200</v>
      </c>
      <c r="Z40" s="17" t="s">
        <v>198</v>
      </c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</row>
    <row r="41" spans="1:52" s="18" customFormat="1" ht="43.2" x14ac:dyDescent="0.3">
      <c r="A41" s="15">
        <v>45938.558217592596</v>
      </c>
      <c r="B41" s="15">
        <v>45938.569386574076</v>
      </c>
      <c r="C41" s="16">
        <v>0</v>
      </c>
      <c r="D41" s="17" t="s">
        <v>194</v>
      </c>
      <c r="E41" s="16">
        <v>100</v>
      </c>
      <c r="F41" s="16">
        <v>964</v>
      </c>
      <c r="G41" s="16">
        <v>1</v>
      </c>
      <c r="H41" s="15">
        <v>45938.569395439816</v>
      </c>
      <c r="I41" s="17" t="s">
        <v>201</v>
      </c>
      <c r="J41" s="17" t="s">
        <v>53</v>
      </c>
      <c r="K41" s="17" t="s">
        <v>53</v>
      </c>
      <c r="L41" s="17" t="s">
        <v>53</v>
      </c>
      <c r="M41" s="17" t="s">
        <v>53</v>
      </c>
      <c r="N41" s="16">
        <v>41.890500000000003</v>
      </c>
      <c r="O41" s="16">
        <v>12.512700000000001</v>
      </c>
      <c r="P41" s="17" t="s">
        <v>54</v>
      </c>
      <c r="Q41" s="17" t="s">
        <v>55</v>
      </c>
      <c r="R41" s="17" t="s">
        <v>202</v>
      </c>
      <c r="S41" s="17" t="s">
        <v>57</v>
      </c>
      <c r="T41" s="16">
        <v>98</v>
      </c>
      <c r="U41" s="16">
        <v>13</v>
      </c>
      <c r="V41" s="16">
        <v>3</v>
      </c>
      <c r="W41" s="16">
        <v>0</v>
      </c>
      <c r="X41" s="16">
        <v>2</v>
      </c>
      <c r="Y41" s="17" t="s">
        <v>203</v>
      </c>
      <c r="Z41" s="17" t="s">
        <v>198</v>
      </c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</row>
    <row r="42" spans="1:52" ht="43.2" x14ac:dyDescent="0.3">
      <c r="A42" s="12">
        <v>45938.569548611114</v>
      </c>
      <c r="B42" s="12">
        <v>45938.571712962963</v>
      </c>
      <c r="C42" s="13">
        <v>0</v>
      </c>
      <c r="D42" s="14" t="s">
        <v>194</v>
      </c>
      <c r="E42" s="13">
        <v>100</v>
      </c>
      <c r="F42" s="13">
        <v>186</v>
      </c>
      <c r="G42" s="13">
        <v>1</v>
      </c>
      <c r="H42" s="12">
        <v>45938.571720335647</v>
      </c>
      <c r="I42" s="14" t="s">
        <v>204</v>
      </c>
      <c r="J42" s="14" t="s">
        <v>53</v>
      </c>
      <c r="K42" s="14" t="s">
        <v>53</v>
      </c>
      <c r="L42" s="14" t="s">
        <v>53</v>
      </c>
      <c r="M42" s="14" t="s">
        <v>53</v>
      </c>
      <c r="N42" s="13">
        <v>41.890500000000003</v>
      </c>
      <c r="O42" s="13">
        <v>12.512700000000001</v>
      </c>
      <c r="P42" s="14" t="s">
        <v>54</v>
      </c>
      <c r="Q42" s="14" t="s">
        <v>55</v>
      </c>
      <c r="R42" s="14" t="s">
        <v>202</v>
      </c>
      <c r="S42" s="14" t="s">
        <v>61</v>
      </c>
      <c r="T42" s="13">
        <v>2</v>
      </c>
      <c r="U42" s="13">
        <v>26</v>
      </c>
      <c r="V42" s="13">
        <v>48</v>
      </c>
      <c r="W42" s="13">
        <v>10</v>
      </c>
      <c r="X42" s="13">
        <v>13</v>
      </c>
      <c r="Y42" s="14" t="s">
        <v>205</v>
      </c>
      <c r="Z42" s="14" t="s">
        <v>206</v>
      </c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</row>
    <row r="43" spans="1:52" ht="43.2" x14ac:dyDescent="0.3">
      <c r="A43" s="12">
        <v>45938.573020833333</v>
      </c>
      <c r="B43" s="12">
        <v>45938.595150462963</v>
      </c>
      <c r="C43" s="13">
        <v>0</v>
      </c>
      <c r="D43" s="14" t="s">
        <v>194</v>
      </c>
      <c r="E43" s="13">
        <v>100</v>
      </c>
      <c r="F43" s="13">
        <v>1912</v>
      </c>
      <c r="G43" s="13">
        <v>1</v>
      </c>
      <c r="H43" s="12">
        <v>45938.595163460646</v>
      </c>
      <c r="I43" s="14" t="s">
        <v>207</v>
      </c>
      <c r="J43" s="14" t="s">
        <v>53</v>
      </c>
      <c r="K43" s="14" t="s">
        <v>53</v>
      </c>
      <c r="L43" s="14" t="s">
        <v>53</v>
      </c>
      <c r="M43" s="14" t="s">
        <v>53</v>
      </c>
      <c r="N43" s="13">
        <v>41.890500000000003</v>
      </c>
      <c r="O43" s="13">
        <v>12.512700000000001</v>
      </c>
      <c r="P43" s="14" t="s">
        <v>54</v>
      </c>
      <c r="Q43" s="14" t="s">
        <v>55</v>
      </c>
      <c r="R43" s="14" t="s">
        <v>208</v>
      </c>
      <c r="S43" s="14" t="s">
        <v>61</v>
      </c>
      <c r="T43" s="13">
        <v>3</v>
      </c>
      <c r="U43" s="13">
        <v>9</v>
      </c>
      <c r="V43" s="13">
        <v>3</v>
      </c>
      <c r="W43" s="13">
        <v>5</v>
      </c>
      <c r="X43" s="13">
        <v>3</v>
      </c>
      <c r="Y43" s="14" t="s">
        <v>209</v>
      </c>
      <c r="Z43" s="14" t="s">
        <v>103</v>
      </c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</row>
    <row r="44" spans="1:52" s="18" customFormat="1" ht="43.2" x14ac:dyDescent="0.3">
      <c r="A44" s="15">
        <v>45938.595694444448</v>
      </c>
      <c r="B44" s="15">
        <v>45938.598553240743</v>
      </c>
      <c r="C44" s="16">
        <v>0</v>
      </c>
      <c r="D44" s="17" t="s">
        <v>194</v>
      </c>
      <c r="E44" s="16">
        <v>100</v>
      </c>
      <c r="F44" s="16">
        <v>247</v>
      </c>
      <c r="G44" s="16">
        <v>1</v>
      </c>
      <c r="H44" s="15">
        <v>45938.598562060186</v>
      </c>
      <c r="I44" s="17" t="s">
        <v>210</v>
      </c>
      <c r="J44" s="17" t="s">
        <v>53</v>
      </c>
      <c r="K44" s="17" t="s">
        <v>53</v>
      </c>
      <c r="L44" s="17" t="s">
        <v>53</v>
      </c>
      <c r="M44" s="17" t="s">
        <v>53</v>
      </c>
      <c r="N44" s="16">
        <v>41.890500000000003</v>
      </c>
      <c r="O44" s="16">
        <v>12.512700000000001</v>
      </c>
      <c r="P44" s="17" t="s">
        <v>54</v>
      </c>
      <c r="Q44" s="17" t="s">
        <v>55</v>
      </c>
      <c r="R44" s="17" t="s">
        <v>208</v>
      </c>
      <c r="S44" s="17" t="s">
        <v>57</v>
      </c>
      <c r="T44" s="16">
        <v>16</v>
      </c>
      <c r="U44" s="16">
        <v>7</v>
      </c>
      <c r="V44" s="16">
        <v>23</v>
      </c>
      <c r="W44" s="16">
        <v>10</v>
      </c>
      <c r="X44" s="16">
        <v>3</v>
      </c>
      <c r="Y44" s="17" t="s">
        <v>211</v>
      </c>
      <c r="Z44" s="17" t="s">
        <v>212</v>
      </c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</row>
    <row r="45" spans="1:52" s="18" customFormat="1" ht="43.2" x14ac:dyDescent="0.3">
      <c r="A45" s="15">
        <v>45938.601909722223</v>
      </c>
      <c r="B45" s="15">
        <v>45938.606932870367</v>
      </c>
      <c r="C45" s="16">
        <v>0</v>
      </c>
      <c r="D45" s="17" t="s">
        <v>194</v>
      </c>
      <c r="E45" s="16">
        <v>100</v>
      </c>
      <c r="F45" s="16">
        <v>433</v>
      </c>
      <c r="G45" s="16">
        <v>1</v>
      </c>
      <c r="H45" s="15">
        <v>45938.606942407408</v>
      </c>
      <c r="I45" s="17" t="s">
        <v>213</v>
      </c>
      <c r="J45" s="17" t="s">
        <v>53</v>
      </c>
      <c r="K45" s="17" t="s">
        <v>53</v>
      </c>
      <c r="L45" s="17" t="s">
        <v>53</v>
      </c>
      <c r="M45" s="17" t="s">
        <v>53</v>
      </c>
      <c r="N45" s="16">
        <v>41.890500000000003</v>
      </c>
      <c r="O45" s="16">
        <v>12.512700000000001</v>
      </c>
      <c r="P45" s="17" t="s">
        <v>54</v>
      </c>
      <c r="Q45" s="17" t="s">
        <v>55</v>
      </c>
      <c r="R45" s="17" t="s">
        <v>214</v>
      </c>
      <c r="S45" s="17" t="s">
        <v>57</v>
      </c>
      <c r="T45" s="16">
        <v>34</v>
      </c>
      <c r="U45" s="16">
        <v>2</v>
      </c>
      <c r="V45" s="16">
        <v>27</v>
      </c>
      <c r="W45" s="16">
        <v>11</v>
      </c>
      <c r="X45" s="16">
        <v>5</v>
      </c>
      <c r="Y45" s="17" t="s">
        <v>215</v>
      </c>
      <c r="Z45" s="17" t="s">
        <v>103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</row>
    <row r="46" spans="1:52" ht="43.2" x14ac:dyDescent="0.3">
      <c r="A46" s="12">
        <v>45938.607129629629</v>
      </c>
      <c r="B46" s="12">
        <v>45938.609039351853</v>
      </c>
      <c r="C46" s="13">
        <v>0</v>
      </c>
      <c r="D46" s="14" t="s">
        <v>194</v>
      </c>
      <c r="E46" s="13">
        <v>100</v>
      </c>
      <c r="F46" s="13">
        <v>165</v>
      </c>
      <c r="G46" s="13">
        <v>1</v>
      </c>
      <c r="H46" s="12">
        <v>45938.609064814817</v>
      </c>
      <c r="I46" s="14" t="s">
        <v>216</v>
      </c>
      <c r="J46" s="14" t="s">
        <v>53</v>
      </c>
      <c r="K46" s="14" t="s">
        <v>53</v>
      </c>
      <c r="L46" s="14" t="s">
        <v>53</v>
      </c>
      <c r="M46" s="14" t="s">
        <v>53</v>
      </c>
      <c r="N46" s="13">
        <v>41.890500000000003</v>
      </c>
      <c r="O46" s="13">
        <v>12.512700000000001</v>
      </c>
      <c r="P46" s="14" t="s">
        <v>54</v>
      </c>
      <c r="Q46" s="14" t="s">
        <v>55</v>
      </c>
      <c r="R46" s="14" t="s">
        <v>214</v>
      </c>
      <c r="S46" s="14" t="s">
        <v>61</v>
      </c>
      <c r="T46" s="13">
        <v>62</v>
      </c>
      <c r="U46" s="13">
        <v>11</v>
      </c>
      <c r="V46" s="13">
        <v>48</v>
      </c>
      <c r="W46" s="13">
        <v>24</v>
      </c>
      <c r="X46" s="13">
        <v>10</v>
      </c>
      <c r="Y46" s="14" t="s">
        <v>215</v>
      </c>
      <c r="Z46" s="14" t="s">
        <v>217</v>
      </c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</row>
    <row r="47" spans="1:52" ht="43.2" x14ac:dyDescent="0.3">
      <c r="A47" s="12">
        <v>45938.610891203702</v>
      </c>
      <c r="B47" s="12">
        <v>45938.627118055556</v>
      </c>
      <c r="C47" s="13">
        <v>0</v>
      </c>
      <c r="D47" s="14" t="s">
        <v>218</v>
      </c>
      <c r="E47" s="13">
        <v>100</v>
      </c>
      <c r="F47" s="13">
        <v>1402</v>
      </c>
      <c r="G47" s="13">
        <v>1</v>
      </c>
      <c r="H47" s="12">
        <v>45938.62713212963</v>
      </c>
      <c r="I47" s="14" t="s">
        <v>219</v>
      </c>
      <c r="J47" s="14" t="s">
        <v>53</v>
      </c>
      <c r="K47" s="14" t="s">
        <v>53</v>
      </c>
      <c r="L47" s="14" t="s">
        <v>53</v>
      </c>
      <c r="M47" s="14" t="s">
        <v>53</v>
      </c>
      <c r="N47" s="13">
        <v>41.890500000000003</v>
      </c>
      <c r="O47" s="13">
        <v>12.512700000000001</v>
      </c>
      <c r="P47" s="14" t="s">
        <v>54</v>
      </c>
      <c r="Q47" s="14" t="s">
        <v>55</v>
      </c>
      <c r="R47" s="14" t="s">
        <v>220</v>
      </c>
      <c r="S47" s="14" t="s">
        <v>61</v>
      </c>
      <c r="T47" s="13">
        <v>9</v>
      </c>
      <c r="U47" s="13">
        <v>33</v>
      </c>
      <c r="V47" s="13">
        <v>5</v>
      </c>
      <c r="W47" s="13">
        <v>44</v>
      </c>
      <c r="X47" s="13">
        <v>18</v>
      </c>
      <c r="Y47" s="14" t="s">
        <v>221</v>
      </c>
      <c r="Z47" s="14" t="s">
        <v>222</v>
      </c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</row>
    <row r="48" spans="1:52" s="18" customFormat="1" ht="43.2" x14ac:dyDescent="0.3">
      <c r="A48" s="15">
        <v>45938.628310185188</v>
      </c>
      <c r="B48" s="15">
        <v>45938.630150462966</v>
      </c>
      <c r="C48" s="16">
        <v>0</v>
      </c>
      <c r="D48" s="17" t="s">
        <v>218</v>
      </c>
      <c r="E48" s="16">
        <v>100</v>
      </c>
      <c r="F48" s="16">
        <v>159</v>
      </c>
      <c r="G48" s="16">
        <v>1</v>
      </c>
      <c r="H48" s="15">
        <v>45938.630160891204</v>
      </c>
      <c r="I48" s="17" t="s">
        <v>223</v>
      </c>
      <c r="J48" s="17" t="s">
        <v>53</v>
      </c>
      <c r="K48" s="17" t="s">
        <v>53</v>
      </c>
      <c r="L48" s="17" t="s">
        <v>53</v>
      </c>
      <c r="M48" s="17" t="s">
        <v>53</v>
      </c>
      <c r="N48" s="16">
        <v>41.890500000000003</v>
      </c>
      <c r="O48" s="16">
        <v>12.512700000000001</v>
      </c>
      <c r="P48" s="17" t="s">
        <v>54</v>
      </c>
      <c r="Q48" s="17" t="s">
        <v>55</v>
      </c>
      <c r="R48" s="17" t="s">
        <v>220</v>
      </c>
      <c r="S48" s="17" t="s">
        <v>57</v>
      </c>
      <c r="T48" s="16">
        <v>15</v>
      </c>
      <c r="U48" s="16">
        <v>3</v>
      </c>
      <c r="V48" s="16">
        <v>1</v>
      </c>
      <c r="W48" s="16">
        <v>1</v>
      </c>
      <c r="X48" s="16">
        <v>1</v>
      </c>
      <c r="Y48" s="17" t="s">
        <v>224</v>
      </c>
      <c r="Z48" s="17" t="s">
        <v>225</v>
      </c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</row>
    <row r="49" spans="1:52" s="18" customFormat="1" ht="43.2" x14ac:dyDescent="0.3">
      <c r="A49" s="15">
        <v>45938.649363425924</v>
      </c>
      <c r="B49" s="15">
        <v>45938.67255787037</v>
      </c>
      <c r="C49" s="16">
        <v>0</v>
      </c>
      <c r="D49" s="17" t="s">
        <v>218</v>
      </c>
      <c r="E49" s="16">
        <v>100</v>
      </c>
      <c r="F49" s="16">
        <v>2003</v>
      </c>
      <c r="G49" s="16">
        <v>1</v>
      </c>
      <c r="H49" s="15">
        <v>45938.67256230324</v>
      </c>
      <c r="I49" s="17" t="s">
        <v>226</v>
      </c>
      <c r="J49" s="17" t="s">
        <v>53</v>
      </c>
      <c r="K49" s="17" t="s">
        <v>53</v>
      </c>
      <c r="L49" s="17" t="s">
        <v>53</v>
      </c>
      <c r="M49" s="17" t="s">
        <v>53</v>
      </c>
      <c r="N49" s="16">
        <v>41.890500000000003</v>
      </c>
      <c r="O49" s="16">
        <v>12.512700000000001</v>
      </c>
      <c r="P49" s="17" t="s">
        <v>54</v>
      </c>
      <c r="Q49" s="17" t="s">
        <v>55</v>
      </c>
      <c r="R49" s="17" t="s">
        <v>227</v>
      </c>
      <c r="S49" s="17" t="s">
        <v>57</v>
      </c>
      <c r="T49" s="16">
        <v>36</v>
      </c>
      <c r="U49" s="16">
        <v>2</v>
      </c>
      <c r="V49" s="16">
        <v>6</v>
      </c>
      <c r="W49" s="16">
        <v>0</v>
      </c>
      <c r="X49" s="16">
        <v>0</v>
      </c>
      <c r="Y49" s="17" t="s">
        <v>228</v>
      </c>
      <c r="Z49" s="17" t="s">
        <v>229</v>
      </c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</row>
    <row r="50" spans="1:52" s="28" customFormat="1" ht="43.2" x14ac:dyDescent="0.3">
      <c r="A50" s="25">
        <v>45938.672662037039</v>
      </c>
      <c r="B50" s="25">
        <v>45938.674351851849</v>
      </c>
      <c r="C50" s="26">
        <v>0</v>
      </c>
      <c r="D50" s="27" t="s">
        <v>218</v>
      </c>
      <c r="E50" s="26">
        <v>100</v>
      </c>
      <c r="F50" s="26">
        <v>145</v>
      </c>
      <c r="G50" s="26">
        <v>1</v>
      </c>
      <c r="H50" s="25">
        <v>45938.674358611112</v>
      </c>
      <c r="I50" s="27" t="s">
        <v>230</v>
      </c>
      <c r="J50" s="27" t="s">
        <v>53</v>
      </c>
      <c r="K50" s="27" t="s">
        <v>53</v>
      </c>
      <c r="L50" s="27" t="s">
        <v>53</v>
      </c>
      <c r="M50" s="27" t="s">
        <v>53</v>
      </c>
      <c r="N50" s="26">
        <v>41.890500000000003</v>
      </c>
      <c r="O50" s="26">
        <v>12.512700000000001</v>
      </c>
      <c r="P50" s="27" t="s">
        <v>54</v>
      </c>
      <c r="Q50" s="27" t="s">
        <v>55</v>
      </c>
      <c r="R50" s="27" t="s">
        <v>227</v>
      </c>
      <c r="S50" s="27" t="s">
        <v>61</v>
      </c>
      <c r="T50" s="26">
        <v>29</v>
      </c>
      <c r="U50" s="26">
        <v>5</v>
      </c>
      <c r="V50" s="26">
        <v>23</v>
      </c>
      <c r="W50" s="26">
        <v>5</v>
      </c>
      <c r="X50" s="26">
        <v>5</v>
      </c>
      <c r="Y50" s="27" t="s">
        <v>125</v>
      </c>
      <c r="Z50" s="27" t="s">
        <v>231</v>
      </c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</row>
    <row r="51" spans="1:52" ht="43.2" x14ac:dyDescent="0.3">
      <c r="A51" s="21">
        <v>45940.4846412037</v>
      </c>
      <c r="B51" s="21">
        <v>45940.495370370372</v>
      </c>
      <c r="C51" s="20">
        <v>0</v>
      </c>
      <c r="D51" s="22" t="s">
        <v>246</v>
      </c>
      <c r="E51" s="20">
        <v>100</v>
      </c>
      <c r="F51" s="20">
        <v>927</v>
      </c>
      <c r="G51" s="20">
        <v>1</v>
      </c>
      <c r="H51" s="21">
        <v>45940.495386111113</v>
      </c>
      <c r="I51" s="22" t="s">
        <v>247</v>
      </c>
      <c r="J51" s="22" t="s">
        <v>53</v>
      </c>
      <c r="K51" s="22" t="s">
        <v>53</v>
      </c>
      <c r="L51" s="22" t="s">
        <v>53</v>
      </c>
      <c r="M51" s="22" t="s">
        <v>53</v>
      </c>
      <c r="N51" s="20">
        <v>43.1479</v>
      </c>
      <c r="O51" s="20">
        <v>12.1097</v>
      </c>
      <c r="P51" s="22" t="s">
        <v>54</v>
      </c>
      <c r="Q51" s="22" t="s">
        <v>55</v>
      </c>
      <c r="R51" s="23" t="s">
        <v>248</v>
      </c>
      <c r="S51" s="23" t="s">
        <v>61</v>
      </c>
      <c r="T51" s="24">
        <v>9</v>
      </c>
      <c r="U51" s="24">
        <v>6</v>
      </c>
      <c r="V51" s="24">
        <v>13</v>
      </c>
      <c r="W51" s="24">
        <v>2</v>
      </c>
      <c r="X51" s="24">
        <v>2</v>
      </c>
      <c r="Y51" s="23" t="s">
        <v>249</v>
      </c>
      <c r="Z51" s="23" t="s">
        <v>250</v>
      </c>
    </row>
    <row r="52" spans="1:52" ht="43.2" x14ac:dyDescent="0.3">
      <c r="A52" s="21">
        <v>45940.49554398148</v>
      </c>
      <c r="B52" s="21">
        <v>45940.497928240744</v>
      </c>
      <c r="C52" s="20">
        <v>0</v>
      </c>
      <c r="D52" s="22" t="s">
        <v>246</v>
      </c>
      <c r="E52" s="20">
        <v>100</v>
      </c>
      <c r="F52" s="20">
        <v>205</v>
      </c>
      <c r="G52" s="20">
        <v>1</v>
      </c>
      <c r="H52" s="21">
        <v>45940.497934733794</v>
      </c>
      <c r="I52" s="22" t="s">
        <v>251</v>
      </c>
      <c r="J52" s="22" t="s">
        <v>53</v>
      </c>
      <c r="K52" s="22" t="s">
        <v>53</v>
      </c>
      <c r="L52" s="22" t="s">
        <v>53</v>
      </c>
      <c r="M52" s="22" t="s">
        <v>53</v>
      </c>
      <c r="N52" s="20">
        <v>43.1479</v>
      </c>
      <c r="O52" s="20">
        <v>12.1097</v>
      </c>
      <c r="P52" s="22" t="s">
        <v>54</v>
      </c>
      <c r="Q52" s="22" t="s">
        <v>55</v>
      </c>
      <c r="R52" s="23" t="s">
        <v>248</v>
      </c>
      <c r="S52" s="23" t="s">
        <v>57</v>
      </c>
      <c r="T52" s="24">
        <v>22</v>
      </c>
      <c r="U52" s="24">
        <v>6</v>
      </c>
      <c r="V52" s="24">
        <v>32</v>
      </c>
      <c r="W52" s="24">
        <v>21</v>
      </c>
      <c r="X52" s="24">
        <v>3</v>
      </c>
      <c r="Y52" s="23" t="s">
        <v>252</v>
      </c>
      <c r="Z52" s="23" t="s">
        <v>253</v>
      </c>
    </row>
    <row r="53" spans="1:52" ht="28.8" x14ac:dyDescent="0.3">
      <c r="A53" s="21">
        <v>45940.501030092593</v>
      </c>
      <c r="B53" s="21">
        <v>45940.504340277781</v>
      </c>
      <c r="C53" s="20">
        <v>0</v>
      </c>
      <c r="D53" s="22" t="s">
        <v>246</v>
      </c>
      <c r="E53" s="20">
        <v>100</v>
      </c>
      <c r="F53" s="20">
        <v>286</v>
      </c>
      <c r="G53" s="20">
        <v>1</v>
      </c>
      <c r="H53" s="21">
        <v>45940.504354745368</v>
      </c>
      <c r="I53" s="22" t="s">
        <v>254</v>
      </c>
      <c r="J53" s="22" t="s">
        <v>53</v>
      </c>
      <c r="K53" s="22" t="s">
        <v>53</v>
      </c>
      <c r="L53" s="22" t="s">
        <v>53</v>
      </c>
      <c r="M53" s="22" t="s">
        <v>53</v>
      </c>
      <c r="N53" s="20">
        <v>43.1479</v>
      </c>
      <c r="O53" s="20">
        <v>12.1097</v>
      </c>
      <c r="P53" s="22" t="s">
        <v>54</v>
      </c>
      <c r="Q53" s="22" t="s">
        <v>55</v>
      </c>
      <c r="R53" s="23" t="s">
        <v>255</v>
      </c>
      <c r="S53" s="23" t="s">
        <v>57</v>
      </c>
      <c r="T53" s="24">
        <v>15</v>
      </c>
      <c r="U53" s="24">
        <v>6</v>
      </c>
      <c r="V53" s="24">
        <v>19</v>
      </c>
      <c r="W53" s="24">
        <v>25</v>
      </c>
      <c r="X53" s="24">
        <v>7</v>
      </c>
      <c r="Y53" s="23" t="s">
        <v>256</v>
      </c>
      <c r="Z53" s="23" t="s">
        <v>257</v>
      </c>
    </row>
    <row r="54" spans="1:52" ht="43.2" x14ac:dyDescent="0.3">
      <c r="A54" s="21">
        <v>45940.504467592589</v>
      </c>
      <c r="B54" s="21">
        <v>45940.507071759261</v>
      </c>
      <c r="C54" s="20">
        <v>0</v>
      </c>
      <c r="D54" s="22" t="s">
        <v>246</v>
      </c>
      <c r="E54" s="20">
        <v>100</v>
      </c>
      <c r="F54" s="20">
        <v>224</v>
      </c>
      <c r="G54" s="20">
        <v>1</v>
      </c>
      <c r="H54" s="21">
        <v>45940.518948252313</v>
      </c>
      <c r="I54" s="22" t="s">
        <v>258</v>
      </c>
      <c r="J54" s="22" t="s">
        <v>53</v>
      </c>
      <c r="K54" s="22" t="s">
        <v>53</v>
      </c>
      <c r="L54" s="22" t="s">
        <v>53</v>
      </c>
      <c r="M54" s="22" t="s">
        <v>53</v>
      </c>
      <c r="N54" s="20">
        <v>43.1479</v>
      </c>
      <c r="O54" s="20">
        <v>12.1097</v>
      </c>
      <c r="P54" s="22" t="s">
        <v>54</v>
      </c>
      <c r="Q54" s="22" t="s">
        <v>55</v>
      </c>
      <c r="R54" s="23" t="s">
        <v>255</v>
      </c>
      <c r="S54" s="23" t="s">
        <v>61</v>
      </c>
      <c r="T54" s="24">
        <v>6</v>
      </c>
      <c r="U54" s="24">
        <v>11</v>
      </c>
      <c r="V54" s="24">
        <v>4</v>
      </c>
      <c r="W54" s="24">
        <v>11</v>
      </c>
      <c r="X54" s="24">
        <v>21</v>
      </c>
      <c r="Y54" s="23" t="s">
        <v>259</v>
      </c>
      <c r="Z54" s="23" t="s">
        <v>260</v>
      </c>
    </row>
    <row r="55" spans="1:52" ht="43.2" x14ac:dyDescent="0.3">
      <c r="A55" s="21">
        <v>45940.533865740741</v>
      </c>
      <c r="B55" s="21">
        <v>45940.535613425927</v>
      </c>
      <c r="C55" s="20">
        <v>0</v>
      </c>
      <c r="D55" s="22" t="s">
        <v>246</v>
      </c>
      <c r="E55" s="20">
        <v>100</v>
      </c>
      <c r="F55" s="20">
        <v>150</v>
      </c>
      <c r="G55" s="20">
        <v>1</v>
      </c>
      <c r="H55" s="21">
        <v>45940.535622418982</v>
      </c>
      <c r="I55" s="22" t="s">
        <v>261</v>
      </c>
      <c r="J55" s="22" t="s">
        <v>53</v>
      </c>
      <c r="K55" s="22" t="s">
        <v>53</v>
      </c>
      <c r="L55" s="22" t="s">
        <v>53</v>
      </c>
      <c r="M55" s="22" t="s">
        <v>53</v>
      </c>
      <c r="N55" s="20">
        <v>43.1479</v>
      </c>
      <c r="O55" s="20">
        <v>12.1097</v>
      </c>
      <c r="P55" s="22" t="s">
        <v>54</v>
      </c>
      <c r="Q55" s="22" t="s">
        <v>55</v>
      </c>
      <c r="R55" s="23" t="s">
        <v>262</v>
      </c>
      <c r="S55" s="23" t="s">
        <v>57</v>
      </c>
      <c r="T55" s="24">
        <v>30</v>
      </c>
      <c r="U55" s="24">
        <v>10</v>
      </c>
      <c r="V55" s="24">
        <v>21</v>
      </c>
      <c r="W55" s="24">
        <v>6</v>
      </c>
      <c r="X55" s="24">
        <v>10</v>
      </c>
      <c r="Y55" s="23" t="s">
        <v>263</v>
      </c>
      <c r="Z55" s="23" t="s">
        <v>264</v>
      </c>
    </row>
    <row r="56" spans="1:52" ht="43.2" x14ac:dyDescent="0.3">
      <c r="A56" s="21">
        <v>45940.514965277776</v>
      </c>
      <c r="B56" s="21">
        <v>45940.532766203702</v>
      </c>
      <c r="C56" s="20">
        <v>0</v>
      </c>
      <c r="D56" s="22" t="s">
        <v>246</v>
      </c>
      <c r="E56" s="20">
        <v>100</v>
      </c>
      <c r="F56" s="20">
        <v>1538</v>
      </c>
      <c r="G56" s="20">
        <v>1</v>
      </c>
      <c r="H56" s="21">
        <v>45940.545210520831</v>
      </c>
      <c r="I56" s="22" t="s">
        <v>265</v>
      </c>
      <c r="J56" s="22" t="s">
        <v>53</v>
      </c>
      <c r="K56" s="22" t="s">
        <v>53</v>
      </c>
      <c r="L56" s="22" t="s">
        <v>53</v>
      </c>
      <c r="M56" s="22" t="s">
        <v>53</v>
      </c>
      <c r="N56" s="20">
        <v>43.1479</v>
      </c>
      <c r="O56" s="20">
        <v>12.1097</v>
      </c>
      <c r="P56" s="22" t="s">
        <v>54</v>
      </c>
      <c r="Q56" s="22" t="s">
        <v>55</v>
      </c>
      <c r="R56" s="23" t="s">
        <v>262</v>
      </c>
      <c r="S56" s="23" t="s">
        <v>61</v>
      </c>
      <c r="T56" s="24">
        <v>11</v>
      </c>
      <c r="U56" s="24">
        <v>21</v>
      </c>
      <c r="V56" s="24">
        <v>8</v>
      </c>
      <c r="W56" s="24">
        <v>5</v>
      </c>
      <c r="X56" s="24">
        <v>7</v>
      </c>
      <c r="Y56" s="23" t="s">
        <v>266</v>
      </c>
      <c r="Z56" s="23" t="s">
        <v>267</v>
      </c>
    </row>
    <row r="57" spans="1:52" ht="43.2" x14ac:dyDescent="0.3">
      <c r="A57" s="21">
        <v>45940.55332175926</v>
      </c>
      <c r="B57" s="21">
        <v>45940.557372685187</v>
      </c>
      <c r="C57" s="20">
        <v>0</v>
      </c>
      <c r="D57" s="22" t="s">
        <v>246</v>
      </c>
      <c r="E57" s="20">
        <v>100</v>
      </c>
      <c r="F57" s="20">
        <v>349</v>
      </c>
      <c r="G57" s="20">
        <v>1</v>
      </c>
      <c r="H57" s="21">
        <v>45940.557381817132</v>
      </c>
      <c r="I57" s="22" t="s">
        <v>268</v>
      </c>
      <c r="J57" s="22" t="s">
        <v>53</v>
      </c>
      <c r="K57" s="22" t="s">
        <v>53</v>
      </c>
      <c r="L57" s="22" t="s">
        <v>53</v>
      </c>
      <c r="M57" s="22" t="s">
        <v>53</v>
      </c>
      <c r="N57" s="20">
        <v>43.1479</v>
      </c>
      <c r="O57" s="20">
        <v>12.1097</v>
      </c>
      <c r="P57" s="22" t="s">
        <v>54</v>
      </c>
      <c r="Q57" s="22" t="s">
        <v>55</v>
      </c>
      <c r="R57" s="23" t="s">
        <v>269</v>
      </c>
      <c r="S57" s="23" t="s">
        <v>57</v>
      </c>
      <c r="T57" s="24">
        <v>25</v>
      </c>
      <c r="U57" s="24">
        <v>10</v>
      </c>
      <c r="V57" s="24">
        <v>22</v>
      </c>
      <c r="W57" s="24">
        <v>7</v>
      </c>
      <c r="X57" s="24">
        <v>3</v>
      </c>
      <c r="Y57" s="23" t="s">
        <v>270</v>
      </c>
      <c r="Z57" s="23" t="s">
        <v>271</v>
      </c>
    </row>
    <row r="58" spans="1:52" ht="43.2" x14ac:dyDescent="0.3">
      <c r="A58" s="21">
        <v>45940.557604166665</v>
      </c>
      <c r="B58" s="21">
        <v>45940.559270833335</v>
      </c>
      <c r="C58" s="20">
        <v>0</v>
      </c>
      <c r="D58" s="22" t="s">
        <v>246</v>
      </c>
      <c r="E58" s="20">
        <v>100</v>
      </c>
      <c r="F58" s="20">
        <v>143</v>
      </c>
      <c r="G58" s="20">
        <v>1</v>
      </c>
      <c r="H58" s="21">
        <v>45940.55927849537</v>
      </c>
      <c r="I58" s="22" t="s">
        <v>272</v>
      </c>
      <c r="J58" s="22" t="s">
        <v>53</v>
      </c>
      <c r="K58" s="22" t="s">
        <v>53</v>
      </c>
      <c r="L58" s="22" t="s">
        <v>53</v>
      </c>
      <c r="M58" s="22" t="s">
        <v>53</v>
      </c>
      <c r="N58" s="20">
        <v>43.1479</v>
      </c>
      <c r="O58" s="20">
        <v>12.1097</v>
      </c>
      <c r="P58" s="22" t="s">
        <v>54</v>
      </c>
      <c r="Q58" s="22" t="s">
        <v>55</v>
      </c>
      <c r="R58" s="23" t="s">
        <v>269</v>
      </c>
      <c r="S58" s="23" t="s">
        <v>61</v>
      </c>
      <c r="T58" s="24">
        <v>21</v>
      </c>
      <c r="U58" s="24">
        <v>4</v>
      </c>
      <c r="V58" s="24">
        <v>31</v>
      </c>
      <c r="W58" s="24">
        <v>1</v>
      </c>
      <c r="X58" s="24">
        <v>1</v>
      </c>
      <c r="Y58" s="23" t="s">
        <v>270</v>
      </c>
      <c r="Z58" s="23" t="s">
        <v>103</v>
      </c>
    </row>
    <row r="59" spans="1:52" ht="43.2" x14ac:dyDescent="0.3">
      <c r="A59" s="21">
        <v>45940.563101851854</v>
      </c>
      <c r="B59" s="21">
        <v>45940.565763888888</v>
      </c>
      <c r="C59" s="20">
        <v>0</v>
      </c>
      <c r="D59" s="22" t="s">
        <v>246</v>
      </c>
      <c r="E59" s="20">
        <v>100</v>
      </c>
      <c r="F59" s="20">
        <v>229</v>
      </c>
      <c r="G59" s="20">
        <v>1</v>
      </c>
      <c r="H59" s="21">
        <v>45940.56577523148</v>
      </c>
      <c r="I59" s="22" t="s">
        <v>273</v>
      </c>
      <c r="J59" s="22" t="s">
        <v>53</v>
      </c>
      <c r="K59" s="22" t="s">
        <v>53</v>
      </c>
      <c r="L59" s="22" t="s">
        <v>53</v>
      </c>
      <c r="M59" s="22" t="s">
        <v>53</v>
      </c>
      <c r="N59" s="20">
        <v>43.1479</v>
      </c>
      <c r="O59" s="20">
        <v>12.1097</v>
      </c>
      <c r="P59" s="22" t="s">
        <v>54</v>
      </c>
      <c r="Q59" s="22" t="s">
        <v>55</v>
      </c>
      <c r="R59" s="23" t="s">
        <v>274</v>
      </c>
      <c r="S59" s="23" t="s">
        <v>61</v>
      </c>
      <c r="T59" s="24">
        <v>20</v>
      </c>
      <c r="U59" s="24">
        <v>12</v>
      </c>
      <c r="V59" s="24">
        <v>34</v>
      </c>
      <c r="W59" s="24">
        <v>19</v>
      </c>
      <c r="X59" s="24">
        <v>3</v>
      </c>
      <c r="Y59" s="23" t="s">
        <v>275</v>
      </c>
      <c r="Z59" s="23" t="s">
        <v>276</v>
      </c>
    </row>
    <row r="60" spans="1:52" ht="43.2" x14ac:dyDescent="0.3">
      <c r="A60" s="21">
        <v>45940.566064814811</v>
      </c>
      <c r="B60" s="21">
        <v>45940.567291666666</v>
      </c>
      <c r="C60" s="20">
        <v>0</v>
      </c>
      <c r="D60" s="22" t="s">
        <v>246</v>
      </c>
      <c r="E60" s="20">
        <v>100</v>
      </c>
      <c r="F60" s="20">
        <v>105</v>
      </c>
      <c r="G60" s="20">
        <v>1</v>
      </c>
      <c r="H60" s="21">
        <v>45940.567299247683</v>
      </c>
      <c r="I60" s="22" t="s">
        <v>277</v>
      </c>
      <c r="J60" s="22" t="s">
        <v>53</v>
      </c>
      <c r="K60" s="22" t="s">
        <v>53</v>
      </c>
      <c r="L60" s="22" t="s">
        <v>53</v>
      </c>
      <c r="M60" s="22" t="s">
        <v>53</v>
      </c>
      <c r="N60" s="20">
        <v>43.1479</v>
      </c>
      <c r="O60" s="20">
        <v>12.1097</v>
      </c>
      <c r="P60" s="22" t="s">
        <v>54</v>
      </c>
      <c r="Q60" s="22" t="s">
        <v>55</v>
      </c>
      <c r="R60" s="23" t="s">
        <v>274</v>
      </c>
      <c r="S60" s="23" t="s">
        <v>57</v>
      </c>
      <c r="T60" s="24">
        <v>16</v>
      </c>
      <c r="U60" s="24">
        <v>22</v>
      </c>
      <c r="V60" s="24">
        <v>43</v>
      </c>
      <c r="W60" s="24">
        <v>33</v>
      </c>
      <c r="X60" s="24">
        <v>7</v>
      </c>
      <c r="Y60" s="23" t="s">
        <v>275</v>
      </c>
      <c r="Z60" s="23" t="s">
        <v>278</v>
      </c>
    </row>
    <row r="86" spans="19:28" x14ac:dyDescent="0.3">
      <c r="T86" s="1" t="s">
        <v>172</v>
      </c>
      <c r="U86" s="1" t="s">
        <v>173</v>
      </c>
      <c r="V86" s="1" t="s">
        <v>174</v>
      </c>
      <c r="W86" s="1" t="s">
        <v>175</v>
      </c>
      <c r="X86" s="1" t="s">
        <v>176</v>
      </c>
    </row>
    <row r="87" spans="19:28" x14ac:dyDescent="0.3">
      <c r="S87" s="10"/>
      <c r="U87" s="10"/>
      <c r="V87" s="10"/>
      <c r="W87" s="10"/>
      <c r="X87" s="10"/>
    </row>
    <row r="89" spans="19:28" x14ac:dyDescent="0.3">
      <c r="S89" s="6" t="s">
        <v>281</v>
      </c>
      <c r="T89" s="11">
        <f t="shared" ref="T89:U89" si="2">AVERAGE(T3,T5,T7,T10,T11,T14,T16,T17,T20,T21,T23,T26,T28,T29,T32,T33,T36)</f>
        <v>22.117647058823529</v>
      </c>
      <c r="U89" s="11">
        <f t="shared" si="2"/>
        <v>20.764705882352942</v>
      </c>
      <c r="V89" s="11">
        <f>AVERAGE(V3,V5,V7,V10,V11,V14,V16,V17,V20,V21,V23,V24,V26,V28,V29,V32,V33,V36,)</f>
        <v>38.789473684210527</v>
      </c>
      <c r="W89" s="11">
        <f t="shared" ref="W89:X89" si="3">AVERAGE(W3,W5,W7,W10,W11,W14,W16,W17,W20,W21,W23,W26,W28,W29,W32,W33,W36)</f>
        <v>18.882352941176471</v>
      </c>
      <c r="X89" s="11">
        <f t="shared" si="3"/>
        <v>9</v>
      </c>
      <c r="AB89" s="6" t="e">
        <f>TTEST(AA3:AA18,AB3:AB18,2,1)</f>
        <v>#DIV/0!</v>
      </c>
    </row>
    <row r="92" spans="19:28" x14ac:dyDescent="0.3">
      <c r="S92" s="6" t="s">
        <v>279</v>
      </c>
      <c r="T92" s="6">
        <f>AVERAGE(T4,T6,T8,T9,T12,T13,T15,T18,T19,T22,T25,,T27,T30,T31,T34,T35,T24)</f>
        <v>36.833333333333336</v>
      </c>
      <c r="U92" s="6">
        <f t="shared" ref="U92:X92" si="4">AVERAGE(U4,U6,U8,U9,U12,U13,U15,U18,U19,U22,U25,U27,U30,U31,U34,U35,U24)</f>
        <v>21.058823529411764</v>
      </c>
      <c r="V92" s="6">
        <f t="shared" si="4"/>
        <v>35.470588235294116</v>
      </c>
      <c r="W92" s="6">
        <f t="shared" si="4"/>
        <v>18.117647058823529</v>
      </c>
      <c r="X92" s="6">
        <f t="shared" si="4"/>
        <v>9.5294117647058822</v>
      </c>
    </row>
    <row r="108" spans="1:26" ht="43.2" x14ac:dyDescent="0.3">
      <c r="A108" s="5">
        <v>45741.660439814812</v>
      </c>
      <c r="B108" s="5">
        <v>45741.672731481478</v>
      </c>
      <c r="C108" s="6">
        <v>0</v>
      </c>
      <c r="D108" s="7" t="s">
        <v>51</v>
      </c>
      <c r="E108" s="6">
        <v>100</v>
      </c>
      <c r="F108" s="6">
        <v>1062</v>
      </c>
      <c r="G108" s="6">
        <v>1</v>
      </c>
      <c r="H108" s="5">
        <v>45741.672750972219</v>
      </c>
      <c r="I108" s="7" t="s">
        <v>179</v>
      </c>
      <c r="J108" s="7" t="s">
        <v>53</v>
      </c>
      <c r="K108" s="7" t="s">
        <v>53</v>
      </c>
      <c r="L108" s="7" t="s">
        <v>53</v>
      </c>
      <c r="M108" s="7" t="s">
        <v>53</v>
      </c>
      <c r="N108" s="6">
        <v>41.890500000000003</v>
      </c>
      <c r="O108" s="6">
        <v>12.512700000000001</v>
      </c>
      <c r="P108" s="7" t="s">
        <v>54</v>
      </c>
      <c r="Q108" s="7" t="s">
        <v>55</v>
      </c>
      <c r="R108" s="7" t="s">
        <v>180</v>
      </c>
      <c r="S108" s="7" t="s">
        <v>61</v>
      </c>
      <c r="T108" s="6">
        <v>49</v>
      </c>
      <c r="U108" s="6">
        <v>1</v>
      </c>
      <c r="V108" s="6">
        <v>1</v>
      </c>
      <c r="W108" s="6">
        <v>1</v>
      </c>
      <c r="X108" s="6">
        <v>1</v>
      </c>
      <c r="Y108" s="7" t="s">
        <v>181</v>
      </c>
      <c r="Z108" s="7" t="s">
        <v>182</v>
      </c>
    </row>
    <row r="109" spans="1:26" ht="43.2" x14ac:dyDescent="0.3">
      <c r="A109" s="5">
        <v>45741.679351851853</v>
      </c>
      <c r="B109" s="5">
        <v>45741.68476851852</v>
      </c>
      <c r="C109" s="6">
        <v>0</v>
      </c>
      <c r="D109" s="7" t="s">
        <v>51</v>
      </c>
      <c r="E109" s="6">
        <v>100</v>
      </c>
      <c r="F109" s="6">
        <v>468</v>
      </c>
      <c r="G109" s="6">
        <v>1</v>
      </c>
      <c r="H109" s="5">
        <v>45741.684784178244</v>
      </c>
      <c r="I109" s="7" t="s">
        <v>183</v>
      </c>
      <c r="J109" s="7" t="s">
        <v>53</v>
      </c>
      <c r="K109" s="7" t="s">
        <v>53</v>
      </c>
      <c r="L109" s="7" t="s">
        <v>53</v>
      </c>
      <c r="M109" s="7" t="s">
        <v>53</v>
      </c>
      <c r="N109" s="6">
        <v>41.890500000000003</v>
      </c>
      <c r="O109" s="6">
        <v>12.512700000000001</v>
      </c>
      <c r="P109" s="7" t="s">
        <v>54</v>
      </c>
      <c r="Q109" s="7" t="s">
        <v>55</v>
      </c>
      <c r="R109" s="7" t="s">
        <v>180</v>
      </c>
      <c r="S109" s="7" t="s">
        <v>57</v>
      </c>
      <c r="T109" s="6">
        <v>52</v>
      </c>
      <c r="U109" s="6">
        <v>5</v>
      </c>
      <c r="V109" s="6">
        <v>4</v>
      </c>
      <c r="W109" s="6">
        <v>1</v>
      </c>
      <c r="X109" s="6">
        <v>0</v>
      </c>
      <c r="Y109" s="7" t="s">
        <v>184</v>
      </c>
      <c r="Z109" s="7" t="s">
        <v>185</v>
      </c>
    </row>
  </sheetData>
  <autoFilter ref="A2:Z19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F8E13-1FA5-4A88-B67E-64FAE6D58B80}">
  <sheetPr filterMode="1"/>
  <dimension ref="A1:AB60"/>
  <sheetViews>
    <sheetView topLeftCell="H36" workbookViewId="0">
      <selection activeCell="X59" sqref="T2:X59"/>
    </sheetView>
  </sheetViews>
  <sheetFormatPr defaultRowHeight="14.4" x14ac:dyDescent="0.3"/>
  <sheetData>
    <row r="1" spans="1:28" x14ac:dyDescent="0.3">
      <c r="A1" t="s">
        <v>26</v>
      </c>
      <c r="B1" t="s">
        <v>27</v>
      </c>
      <c r="C1" t="s">
        <v>28</v>
      </c>
      <c r="D1" t="s">
        <v>29</v>
      </c>
      <c r="E1" t="s">
        <v>4</v>
      </c>
      <c r="F1" t="s">
        <v>5</v>
      </c>
      <c r="G1" t="s">
        <v>6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280</v>
      </c>
      <c r="T1" t="s">
        <v>172</v>
      </c>
      <c r="U1" t="s">
        <v>282</v>
      </c>
      <c r="V1" t="s">
        <v>283</v>
      </c>
      <c r="W1" t="s">
        <v>284</v>
      </c>
      <c r="X1" t="s">
        <v>285</v>
      </c>
      <c r="Y1" t="s">
        <v>47</v>
      </c>
      <c r="Z1" t="s">
        <v>48</v>
      </c>
      <c r="AA1" t="s">
        <v>49</v>
      </c>
      <c r="AB1" t="s">
        <v>50</v>
      </c>
    </row>
    <row r="2" spans="1:28" x14ac:dyDescent="0.3">
      <c r="A2">
        <v>45741.621493055558</v>
      </c>
      <c r="B2">
        <v>45741.640972222223</v>
      </c>
      <c r="C2">
        <v>0</v>
      </c>
      <c r="D2" t="s">
        <v>51</v>
      </c>
      <c r="E2">
        <v>100</v>
      </c>
      <c r="F2">
        <v>1683</v>
      </c>
      <c r="G2">
        <v>1</v>
      </c>
      <c r="H2">
        <v>45741.640982893521</v>
      </c>
      <c r="I2" t="s">
        <v>52</v>
      </c>
      <c r="J2" t="s">
        <v>53</v>
      </c>
      <c r="K2" t="s">
        <v>53</v>
      </c>
      <c r="L2" t="s">
        <v>53</v>
      </c>
      <c r="M2" t="s">
        <v>53</v>
      </c>
      <c r="N2">
        <v>41.890500000000003</v>
      </c>
      <c r="O2">
        <v>12.512700000000001</v>
      </c>
      <c r="P2" t="s">
        <v>54</v>
      </c>
      <c r="Q2" t="s">
        <v>55</v>
      </c>
      <c r="R2" t="s">
        <v>56</v>
      </c>
      <c r="S2" t="s">
        <v>57</v>
      </c>
      <c r="T2">
        <v>35</v>
      </c>
      <c r="U2">
        <v>72</v>
      </c>
      <c r="V2">
        <v>58</v>
      </c>
      <c r="W2">
        <v>74</v>
      </c>
      <c r="X2">
        <v>62</v>
      </c>
      <c r="Y2" t="s">
        <v>58</v>
      </c>
      <c r="Z2" t="s">
        <v>59</v>
      </c>
      <c r="AA2">
        <v>72</v>
      </c>
      <c r="AB2" t="s">
        <v>53</v>
      </c>
    </row>
    <row r="3" spans="1:28" hidden="1" x14ac:dyDescent="0.3">
      <c r="A3">
        <v>45741.651724537034</v>
      </c>
      <c r="B3">
        <v>45741.652557870373</v>
      </c>
      <c r="C3">
        <v>0</v>
      </c>
      <c r="D3" t="s">
        <v>51</v>
      </c>
      <c r="E3">
        <v>100</v>
      </c>
      <c r="F3">
        <v>72</v>
      </c>
      <c r="G3">
        <v>1</v>
      </c>
      <c r="H3">
        <v>45741.652572604165</v>
      </c>
      <c r="I3" t="s">
        <v>60</v>
      </c>
      <c r="J3" t="s">
        <v>53</v>
      </c>
      <c r="K3" t="s">
        <v>53</v>
      </c>
      <c r="L3" t="s">
        <v>53</v>
      </c>
      <c r="M3" t="s">
        <v>53</v>
      </c>
      <c r="N3">
        <v>41.890500000000003</v>
      </c>
      <c r="O3">
        <v>12.512700000000001</v>
      </c>
      <c r="P3" t="s">
        <v>54</v>
      </c>
      <c r="Q3" t="s">
        <v>55</v>
      </c>
      <c r="R3" t="s">
        <v>56</v>
      </c>
      <c r="S3" t="s">
        <v>61</v>
      </c>
      <c r="T3">
        <v>31</v>
      </c>
      <c r="U3">
        <v>76</v>
      </c>
      <c r="V3">
        <v>56</v>
      </c>
      <c r="W3">
        <v>73</v>
      </c>
      <c r="X3">
        <v>65</v>
      </c>
      <c r="Y3" t="s">
        <v>62</v>
      </c>
      <c r="Z3" t="s">
        <v>63</v>
      </c>
      <c r="AA3" t="s">
        <v>53</v>
      </c>
      <c r="AB3">
        <v>76</v>
      </c>
    </row>
    <row r="4" spans="1:28" x14ac:dyDescent="0.3">
      <c r="A4">
        <v>45741.674224537041</v>
      </c>
      <c r="B4">
        <v>45741.677581018521</v>
      </c>
      <c r="C4">
        <v>0</v>
      </c>
      <c r="D4" t="s">
        <v>51</v>
      </c>
      <c r="E4">
        <v>100</v>
      </c>
      <c r="F4">
        <v>289</v>
      </c>
      <c r="G4">
        <v>1</v>
      </c>
      <c r="H4">
        <v>45741.67760427083</v>
      </c>
      <c r="I4" t="s">
        <v>64</v>
      </c>
      <c r="J4" t="s">
        <v>53</v>
      </c>
      <c r="K4" t="s">
        <v>53</v>
      </c>
      <c r="L4" t="s">
        <v>53</v>
      </c>
      <c r="M4" t="s">
        <v>53</v>
      </c>
      <c r="N4">
        <v>41.890500000000003</v>
      </c>
      <c r="O4">
        <v>12.512700000000001</v>
      </c>
      <c r="P4" t="s">
        <v>54</v>
      </c>
      <c r="Q4" t="s">
        <v>55</v>
      </c>
      <c r="R4" t="s">
        <v>65</v>
      </c>
      <c r="S4" t="s">
        <v>57</v>
      </c>
      <c r="T4">
        <v>10</v>
      </c>
      <c r="U4">
        <v>46</v>
      </c>
      <c r="V4">
        <v>78</v>
      </c>
      <c r="W4">
        <v>68</v>
      </c>
      <c r="X4">
        <v>12</v>
      </c>
      <c r="Y4" t="s">
        <v>66</v>
      </c>
      <c r="Z4" t="s">
        <v>67</v>
      </c>
      <c r="AA4">
        <v>46</v>
      </c>
      <c r="AB4" t="s">
        <v>53</v>
      </c>
    </row>
    <row r="5" spans="1:28" hidden="1" x14ac:dyDescent="0.3">
      <c r="A5">
        <v>45741.684942129628</v>
      </c>
      <c r="B5">
        <v>45741.689444444448</v>
      </c>
      <c r="C5">
        <v>0</v>
      </c>
      <c r="D5" t="s">
        <v>51</v>
      </c>
      <c r="E5">
        <v>100</v>
      </c>
      <c r="F5">
        <v>389</v>
      </c>
      <c r="G5">
        <v>1</v>
      </c>
      <c r="H5">
        <v>45741.689456030093</v>
      </c>
      <c r="I5" t="s">
        <v>68</v>
      </c>
      <c r="J5" t="s">
        <v>53</v>
      </c>
      <c r="K5" t="s">
        <v>53</v>
      </c>
      <c r="L5" t="s">
        <v>53</v>
      </c>
      <c r="M5" t="s">
        <v>53</v>
      </c>
      <c r="N5">
        <v>41.890500000000003</v>
      </c>
      <c r="O5">
        <v>12.512700000000001</v>
      </c>
      <c r="P5" t="s">
        <v>54</v>
      </c>
      <c r="Q5" t="s">
        <v>55</v>
      </c>
      <c r="R5" t="s">
        <v>65</v>
      </c>
      <c r="S5" t="s">
        <v>61</v>
      </c>
      <c r="T5">
        <v>39</v>
      </c>
      <c r="U5">
        <v>14</v>
      </c>
      <c r="V5">
        <v>60</v>
      </c>
      <c r="W5">
        <v>25</v>
      </c>
      <c r="X5">
        <v>5</v>
      </c>
      <c r="Y5" t="s">
        <v>69</v>
      </c>
      <c r="Z5" t="s">
        <v>70</v>
      </c>
      <c r="AA5" t="s">
        <v>53</v>
      </c>
      <c r="AB5">
        <v>14</v>
      </c>
    </row>
    <row r="6" spans="1:28" x14ac:dyDescent="0.3">
      <c r="A6">
        <v>45741.697824074072</v>
      </c>
      <c r="B6">
        <v>45741.703703703701</v>
      </c>
      <c r="C6">
        <v>0</v>
      </c>
      <c r="D6" t="s">
        <v>51</v>
      </c>
      <c r="E6">
        <v>100</v>
      </c>
      <c r="F6">
        <v>507</v>
      </c>
      <c r="G6">
        <v>1</v>
      </c>
      <c r="H6">
        <v>45741.70370716435</v>
      </c>
      <c r="I6" t="s">
        <v>71</v>
      </c>
      <c r="J6" t="s">
        <v>53</v>
      </c>
      <c r="K6" t="s">
        <v>53</v>
      </c>
      <c r="L6" t="s">
        <v>53</v>
      </c>
      <c r="M6" t="s">
        <v>53</v>
      </c>
      <c r="N6">
        <v>41.890500000000003</v>
      </c>
      <c r="O6">
        <v>12.512700000000001</v>
      </c>
      <c r="P6" t="s">
        <v>54</v>
      </c>
      <c r="Q6" t="s">
        <v>55</v>
      </c>
      <c r="R6" t="s">
        <v>72</v>
      </c>
      <c r="S6" t="s">
        <v>57</v>
      </c>
      <c r="T6">
        <v>10</v>
      </c>
      <c r="U6">
        <v>8</v>
      </c>
      <c r="V6">
        <v>3</v>
      </c>
      <c r="W6">
        <v>25</v>
      </c>
      <c r="X6">
        <v>16</v>
      </c>
      <c r="Y6" t="s">
        <v>73</v>
      </c>
      <c r="Z6" t="s">
        <v>74</v>
      </c>
      <c r="AA6">
        <v>8</v>
      </c>
      <c r="AB6" t="s">
        <v>53</v>
      </c>
    </row>
    <row r="7" spans="1:28" hidden="1" x14ac:dyDescent="0.3">
      <c r="A7">
        <v>45741.704247685186</v>
      </c>
      <c r="B7">
        <v>45741.709583333337</v>
      </c>
      <c r="C7">
        <v>0</v>
      </c>
      <c r="D7" t="s">
        <v>51</v>
      </c>
      <c r="E7">
        <v>100</v>
      </c>
      <c r="F7">
        <v>461</v>
      </c>
      <c r="G7">
        <v>1</v>
      </c>
      <c r="H7">
        <v>45741.709594467589</v>
      </c>
      <c r="I7" t="s">
        <v>75</v>
      </c>
      <c r="J7" t="s">
        <v>53</v>
      </c>
      <c r="K7" t="s">
        <v>53</v>
      </c>
      <c r="L7" t="s">
        <v>53</v>
      </c>
      <c r="M7" t="s">
        <v>53</v>
      </c>
      <c r="N7">
        <v>41.890500000000003</v>
      </c>
      <c r="O7">
        <v>12.512700000000001</v>
      </c>
      <c r="P7" t="s">
        <v>54</v>
      </c>
      <c r="Q7" t="s">
        <v>55</v>
      </c>
      <c r="R7" t="s">
        <v>76</v>
      </c>
      <c r="S7" t="s">
        <v>61</v>
      </c>
      <c r="T7">
        <v>34</v>
      </c>
      <c r="U7">
        <v>21</v>
      </c>
      <c r="V7">
        <v>21</v>
      </c>
      <c r="W7">
        <v>40</v>
      </c>
      <c r="X7">
        <v>18</v>
      </c>
      <c r="Y7" t="s">
        <v>77</v>
      </c>
      <c r="Z7" t="s">
        <v>78</v>
      </c>
      <c r="AA7" t="s">
        <v>53</v>
      </c>
      <c r="AB7">
        <v>21</v>
      </c>
    </row>
    <row r="8" spans="1:28" hidden="1" x14ac:dyDescent="0.3">
      <c r="A8">
        <v>45742.396701388891</v>
      </c>
      <c r="B8">
        <v>45742.425787037035</v>
      </c>
      <c r="C8">
        <v>0</v>
      </c>
      <c r="D8" t="s">
        <v>51</v>
      </c>
      <c r="E8">
        <v>100</v>
      </c>
      <c r="F8">
        <v>2513</v>
      </c>
      <c r="G8">
        <v>1</v>
      </c>
      <c r="H8">
        <v>45742.425811122688</v>
      </c>
      <c r="I8" t="s">
        <v>79</v>
      </c>
      <c r="J8" t="s">
        <v>53</v>
      </c>
      <c r="K8" t="s">
        <v>53</v>
      </c>
      <c r="L8" t="s">
        <v>53</v>
      </c>
      <c r="M8" t="s">
        <v>53</v>
      </c>
      <c r="N8">
        <v>41.890500000000003</v>
      </c>
      <c r="O8">
        <v>12.512700000000001</v>
      </c>
      <c r="P8" t="s">
        <v>54</v>
      </c>
      <c r="Q8" t="s">
        <v>55</v>
      </c>
      <c r="R8" t="s">
        <v>80</v>
      </c>
      <c r="S8" t="s">
        <v>61</v>
      </c>
      <c r="T8">
        <v>44</v>
      </c>
      <c r="U8">
        <v>64</v>
      </c>
      <c r="V8">
        <v>50</v>
      </c>
      <c r="W8">
        <v>24</v>
      </c>
      <c r="X8">
        <v>35</v>
      </c>
      <c r="Y8" t="s">
        <v>81</v>
      </c>
      <c r="Z8" t="s">
        <v>82</v>
      </c>
      <c r="AA8" t="s">
        <v>53</v>
      </c>
      <c r="AB8">
        <v>64</v>
      </c>
    </row>
    <row r="9" spans="1:28" x14ac:dyDescent="0.3">
      <c r="A9">
        <v>45742.429409722223</v>
      </c>
      <c r="B9">
        <v>45742.430694444447</v>
      </c>
      <c r="C9">
        <v>0</v>
      </c>
      <c r="D9" t="s">
        <v>51</v>
      </c>
      <c r="E9">
        <v>100</v>
      </c>
      <c r="F9">
        <v>111</v>
      </c>
      <c r="G9">
        <v>1</v>
      </c>
      <c r="H9">
        <v>45742.430704571758</v>
      </c>
      <c r="I9" t="s">
        <v>83</v>
      </c>
      <c r="J9" t="s">
        <v>53</v>
      </c>
      <c r="K9" t="s">
        <v>53</v>
      </c>
      <c r="L9" t="s">
        <v>53</v>
      </c>
      <c r="M9" t="s">
        <v>53</v>
      </c>
      <c r="N9">
        <v>41.890500000000003</v>
      </c>
      <c r="O9">
        <v>12.512700000000001</v>
      </c>
      <c r="P9" t="s">
        <v>54</v>
      </c>
      <c r="Q9" t="s">
        <v>55</v>
      </c>
      <c r="R9" t="s">
        <v>80</v>
      </c>
      <c r="S9" t="s">
        <v>57</v>
      </c>
      <c r="T9">
        <v>16</v>
      </c>
      <c r="U9">
        <v>53</v>
      </c>
      <c r="V9">
        <v>67</v>
      </c>
      <c r="W9">
        <v>58</v>
      </c>
      <c r="X9">
        <v>22</v>
      </c>
      <c r="Y9" t="s">
        <v>84</v>
      </c>
      <c r="Z9" t="s">
        <v>85</v>
      </c>
      <c r="AA9">
        <v>53</v>
      </c>
      <c r="AB9" t="s">
        <v>53</v>
      </c>
    </row>
    <row r="10" spans="1:28" x14ac:dyDescent="0.3">
      <c r="A10">
        <v>45742.457314814812</v>
      </c>
      <c r="B10">
        <v>45742.460972222223</v>
      </c>
      <c r="C10">
        <v>0</v>
      </c>
      <c r="D10" t="s">
        <v>51</v>
      </c>
      <c r="E10">
        <v>100</v>
      </c>
      <c r="F10">
        <v>316</v>
      </c>
      <c r="G10">
        <v>1</v>
      </c>
      <c r="H10">
        <v>45742.460985081016</v>
      </c>
      <c r="I10" t="s">
        <v>86</v>
      </c>
      <c r="J10" t="s">
        <v>53</v>
      </c>
      <c r="K10" t="s">
        <v>53</v>
      </c>
      <c r="L10" t="s">
        <v>53</v>
      </c>
      <c r="M10" t="s">
        <v>53</v>
      </c>
      <c r="N10">
        <v>41.890500000000003</v>
      </c>
      <c r="O10">
        <v>12.512700000000001</v>
      </c>
      <c r="P10" t="s">
        <v>54</v>
      </c>
      <c r="Q10" t="s">
        <v>55</v>
      </c>
      <c r="R10" t="s">
        <v>87</v>
      </c>
      <c r="S10" t="s">
        <v>57</v>
      </c>
      <c r="T10">
        <v>15</v>
      </c>
      <c r="U10">
        <v>0</v>
      </c>
      <c r="V10">
        <v>9</v>
      </c>
      <c r="W10">
        <v>0</v>
      </c>
      <c r="X10">
        <v>0</v>
      </c>
      <c r="Y10" t="s">
        <v>88</v>
      </c>
      <c r="Z10" t="s">
        <v>89</v>
      </c>
      <c r="AA10">
        <v>0</v>
      </c>
      <c r="AB10" t="s">
        <v>53</v>
      </c>
    </row>
    <row r="11" spans="1:28" hidden="1" x14ac:dyDescent="0.3">
      <c r="A11">
        <v>45742.461041666669</v>
      </c>
      <c r="B11">
        <v>45742.467430555553</v>
      </c>
      <c r="C11">
        <v>0</v>
      </c>
      <c r="D11" t="s">
        <v>51</v>
      </c>
      <c r="E11">
        <v>100</v>
      </c>
      <c r="F11">
        <v>551</v>
      </c>
      <c r="G11">
        <v>1</v>
      </c>
      <c r="H11">
        <v>45742.467440856482</v>
      </c>
      <c r="I11" t="s">
        <v>90</v>
      </c>
      <c r="J11" t="s">
        <v>53</v>
      </c>
      <c r="K11" t="s">
        <v>53</v>
      </c>
      <c r="L11" t="s">
        <v>53</v>
      </c>
      <c r="M11" t="s">
        <v>53</v>
      </c>
      <c r="N11">
        <v>41.890500000000003</v>
      </c>
      <c r="O11">
        <v>12.512700000000001</v>
      </c>
      <c r="P11" t="s">
        <v>54</v>
      </c>
      <c r="Q11" t="s">
        <v>55</v>
      </c>
      <c r="R11" t="s">
        <v>87</v>
      </c>
      <c r="S11" t="s">
        <v>61</v>
      </c>
      <c r="T11">
        <v>1</v>
      </c>
      <c r="U11">
        <v>0</v>
      </c>
      <c r="V11">
        <v>3</v>
      </c>
      <c r="W11">
        <v>0</v>
      </c>
      <c r="X11">
        <v>0</v>
      </c>
      <c r="Y11" t="s">
        <v>91</v>
      </c>
      <c r="Z11" t="s">
        <v>92</v>
      </c>
      <c r="AA11" t="s">
        <v>53</v>
      </c>
      <c r="AB11">
        <v>0</v>
      </c>
    </row>
    <row r="12" spans="1:28" hidden="1" x14ac:dyDescent="0.3">
      <c r="A12">
        <v>45742.477314814816</v>
      </c>
      <c r="B12">
        <v>45742.478402777779</v>
      </c>
      <c r="C12">
        <v>0</v>
      </c>
      <c r="D12" t="s">
        <v>51</v>
      </c>
      <c r="E12">
        <v>100</v>
      </c>
      <c r="F12">
        <v>93</v>
      </c>
      <c r="G12">
        <v>1</v>
      </c>
      <c r="H12">
        <v>45742.478417627317</v>
      </c>
      <c r="I12" t="s">
        <v>93</v>
      </c>
      <c r="J12" t="s">
        <v>53</v>
      </c>
      <c r="K12" t="s">
        <v>53</v>
      </c>
      <c r="L12" t="s">
        <v>53</v>
      </c>
      <c r="M12" t="s">
        <v>53</v>
      </c>
      <c r="N12">
        <v>41.890500000000003</v>
      </c>
      <c r="O12">
        <v>12.512700000000001</v>
      </c>
      <c r="P12" t="s">
        <v>54</v>
      </c>
      <c r="Q12" t="s">
        <v>55</v>
      </c>
      <c r="R12" t="s">
        <v>94</v>
      </c>
      <c r="S12" t="s">
        <v>61</v>
      </c>
      <c r="T12">
        <v>9</v>
      </c>
      <c r="U12">
        <v>9</v>
      </c>
      <c r="V12">
        <v>8</v>
      </c>
      <c r="W12">
        <v>21</v>
      </c>
      <c r="X12">
        <v>4</v>
      </c>
      <c r="Y12" t="s">
        <v>95</v>
      </c>
      <c r="Z12" t="s">
        <v>96</v>
      </c>
      <c r="AA12" t="s">
        <v>53</v>
      </c>
      <c r="AB12">
        <v>9</v>
      </c>
    </row>
    <row r="13" spans="1:28" x14ac:dyDescent="0.3">
      <c r="A13">
        <v>45742.478668981479</v>
      </c>
      <c r="B13">
        <v>45742.486203703702</v>
      </c>
      <c r="C13">
        <v>0</v>
      </c>
      <c r="D13" t="s">
        <v>51</v>
      </c>
      <c r="E13">
        <v>100</v>
      </c>
      <c r="F13">
        <v>650</v>
      </c>
      <c r="G13">
        <v>1</v>
      </c>
      <c r="H13">
        <v>45742.486214930555</v>
      </c>
      <c r="I13" t="s">
        <v>97</v>
      </c>
      <c r="J13" t="s">
        <v>53</v>
      </c>
      <c r="K13" t="s">
        <v>53</v>
      </c>
      <c r="L13" t="s">
        <v>53</v>
      </c>
      <c r="M13" t="s">
        <v>53</v>
      </c>
      <c r="N13">
        <v>41.890500000000003</v>
      </c>
      <c r="O13">
        <v>12.512700000000001</v>
      </c>
      <c r="P13" t="s">
        <v>54</v>
      </c>
      <c r="Q13" t="s">
        <v>55</v>
      </c>
      <c r="R13" t="s">
        <v>94</v>
      </c>
      <c r="S13" t="s">
        <v>57</v>
      </c>
      <c r="T13">
        <v>21</v>
      </c>
      <c r="U13">
        <v>31</v>
      </c>
      <c r="V13">
        <v>29</v>
      </c>
      <c r="W13">
        <v>32</v>
      </c>
      <c r="X13">
        <v>24</v>
      </c>
      <c r="Y13" t="s">
        <v>98</v>
      </c>
      <c r="Z13" t="s">
        <v>99</v>
      </c>
      <c r="AA13">
        <v>31</v>
      </c>
      <c r="AB13" t="s">
        <v>53</v>
      </c>
    </row>
    <row r="14" spans="1:28" hidden="1" x14ac:dyDescent="0.3">
      <c r="A14">
        <v>45742.488599537035</v>
      </c>
      <c r="B14">
        <v>45742.492060185185</v>
      </c>
      <c r="C14">
        <v>0</v>
      </c>
      <c r="D14" t="s">
        <v>51</v>
      </c>
      <c r="E14">
        <v>100</v>
      </c>
      <c r="F14">
        <v>299</v>
      </c>
      <c r="G14">
        <v>1</v>
      </c>
      <c r="H14">
        <v>45742.492074837966</v>
      </c>
      <c r="I14" t="s">
        <v>100</v>
      </c>
      <c r="J14" t="s">
        <v>53</v>
      </c>
      <c r="K14" t="s">
        <v>53</v>
      </c>
      <c r="L14" t="s">
        <v>53</v>
      </c>
      <c r="M14" t="s">
        <v>53</v>
      </c>
      <c r="N14">
        <v>41.890500000000003</v>
      </c>
      <c r="O14">
        <v>12.512700000000001</v>
      </c>
      <c r="P14" t="s">
        <v>54</v>
      </c>
      <c r="Q14" t="s">
        <v>55</v>
      </c>
      <c r="R14" t="s">
        <v>101</v>
      </c>
      <c r="S14" t="s">
        <v>61</v>
      </c>
      <c r="T14">
        <v>39</v>
      </c>
      <c r="U14">
        <v>3</v>
      </c>
      <c r="V14">
        <v>50</v>
      </c>
      <c r="W14">
        <v>1</v>
      </c>
      <c r="X14">
        <v>1</v>
      </c>
      <c r="Y14" t="s">
        <v>102</v>
      </c>
      <c r="Z14" t="s">
        <v>103</v>
      </c>
      <c r="AA14" t="s">
        <v>53</v>
      </c>
      <c r="AB14">
        <v>3</v>
      </c>
    </row>
    <row r="15" spans="1:28" x14ac:dyDescent="0.3">
      <c r="A15">
        <v>45742.492303240739</v>
      </c>
      <c r="B15">
        <v>45742.498159722221</v>
      </c>
      <c r="C15">
        <v>0</v>
      </c>
      <c r="D15" t="s">
        <v>51</v>
      </c>
      <c r="E15">
        <v>100</v>
      </c>
      <c r="F15">
        <v>505</v>
      </c>
      <c r="G15">
        <v>1</v>
      </c>
      <c r="H15">
        <v>45742.498168749997</v>
      </c>
      <c r="I15" t="s">
        <v>104</v>
      </c>
      <c r="J15" t="s">
        <v>53</v>
      </c>
      <c r="K15" t="s">
        <v>53</v>
      </c>
      <c r="L15" t="s">
        <v>53</v>
      </c>
      <c r="M15" t="s">
        <v>53</v>
      </c>
      <c r="N15">
        <v>41.890500000000003</v>
      </c>
      <c r="O15">
        <v>12.512700000000001</v>
      </c>
      <c r="P15" t="s">
        <v>54</v>
      </c>
      <c r="Q15" t="s">
        <v>55</v>
      </c>
      <c r="R15" t="s">
        <v>101</v>
      </c>
      <c r="S15" t="s">
        <v>57</v>
      </c>
      <c r="T15">
        <v>5</v>
      </c>
      <c r="U15">
        <v>1</v>
      </c>
      <c r="V15">
        <v>69</v>
      </c>
      <c r="W15">
        <v>3</v>
      </c>
      <c r="X15">
        <v>2</v>
      </c>
      <c r="Y15" t="s">
        <v>105</v>
      </c>
      <c r="Z15" t="s">
        <v>106</v>
      </c>
      <c r="AA15">
        <v>1</v>
      </c>
      <c r="AB15" t="s">
        <v>53</v>
      </c>
    </row>
    <row r="16" spans="1:28" x14ac:dyDescent="0.3">
      <c r="A16">
        <v>45742.594004629631</v>
      </c>
      <c r="B16">
        <v>45742.595613425925</v>
      </c>
      <c r="C16">
        <v>0</v>
      </c>
      <c r="D16" t="s">
        <v>51</v>
      </c>
      <c r="E16">
        <v>100</v>
      </c>
      <c r="F16">
        <v>139</v>
      </c>
      <c r="G16">
        <v>1</v>
      </c>
      <c r="H16">
        <v>45742.595626087961</v>
      </c>
      <c r="I16" t="s">
        <v>107</v>
      </c>
      <c r="J16" t="s">
        <v>53</v>
      </c>
      <c r="K16" t="s">
        <v>53</v>
      </c>
      <c r="L16" t="s">
        <v>53</v>
      </c>
      <c r="M16" t="s">
        <v>53</v>
      </c>
      <c r="N16">
        <v>41.890500000000003</v>
      </c>
      <c r="O16">
        <v>12.512700000000001</v>
      </c>
      <c r="P16" t="s">
        <v>54</v>
      </c>
      <c r="Q16" t="s">
        <v>55</v>
      </c>
      <c r="R16" t="s">
        <v>108</v>
      </c>
      <c r="S16" t="s">
        <v>57</v>
      </c>
      <c r="T16">
        <v>51</v>
      </c>
      <c r="U16">
        <v>8</v>
      </c>
      <c r="V16">
        <v>34</v>
      </c>
      <c r="W16">
        <v>6</v>
      </c>
      <c r="X16">
        <v>2</v>
      </c>
      <c r="Y16" t="s">
        <v>109</v>
      </c>
      <c r="Z16" t="s">
        <v>110</v>
      </c>
      <c r="AA16">
        <v>8</v>
      </c>
      <c r="AB16" t="s">
        <v>53</v>
      </c>
    </row>
    <row r="17" spans="1:28" hidden="1" x14ac:dyDescent="0.3">
      <c r="A17">
        <v>45742.596250000002</v>
      </c>
      <c r="B17">
        <v>45742.600868055553</v>
      </c>
      <c r="C17">
        <v>0</v>
      </c>
      <c r="D17" t="s">
        <v>51</v>
      </c>
      <c r="E17">
        <v>100</v>
      </c>
      <c r="F17">
        <v>398</v>
      </c>
      <c r="G17">
        <v>1</v>
      </c>
      <c r="H17">
        <v>45742.60087952546</v>
      </c>
      <c r="I17" t="s">
        <v>111</v>
      </c>
      <c r="J17" t="s">
        <v>53</v>
      </c>
      <c r="K17" t="s">
        <v>53</v>
      </c>
      <c r="L17" t="s">
        <v>53</v>
      </c>
      <c r="M17" t="s">
        <v>53</v>
      </c>
      <c r="N17">
        <v>41.890500000000003</v>
      </c>
      <c r="O17">
        <v>12.512700000000001</v>
      </c>
      <c r="P17" t="s">
        <v>54</v>
      </c>
      <c r="Q17" t="s">
        <v>55</v>
      </c>
      <c r="R17" t="s">
        <v>108</v>
      </c>
      <c r="S17" t="s">
        <v>61</v>
      </c>
      <c r="T17">
        <v>31</v>
      </c>
      <c r="U17">
        <v>13</v>
      </c>
      <c r="V17">
        <v>66</v>
      </c>
      <c r="W17">
        <v>5</v>
      </c>
      <c r="X17">
        <v>2</v>
      </c>
      <c r="Y17" t="s">
        <v>112</v>
      </c>
      <c r="Z17" t="s">
        <v>113</v>
      </c>
      <c r="AA17" t="s">
        <v>53</v>
      </c>
      <c r="AB17">
        <v>13</v>
      </c>
    </row>
    <row r="18" spans="1:28" hidden="1" x14ac:dyDescent="0.3">
      <c r="A18">
        <v>45742.683240740742</v>
      </c>
      <c r="B18">
        <v>45742.68855324074</v>
      </c>
      <c r="C18">
        <v>0</v>
      </c>
      <c r="D18" t="s">
        <v>51</v>
      </c>
      <c r="E18">
        <v>100</v>
      </c>
      <c r="F18">
        <v>459</v>
      </c>
      <c r="G18">
        <v>1</v>
      </c>
      <c r="H18">
        <v>45742.68856372685</v>
      </c>
      <c r="I18" t="s">
        <v>114</v>
      </c>
      <c r="J18" t="s">
        <v>53</v>
      </c>
      <c r="K18" t="s">
        <v>53</v>
      </c>
      <c r="L18" t="s">
        <v>53</v>
      </c>
      <c r="M18" t="s">
        <v>53</v>
      </c>
      <c r="N18">
        <v>41.890500000000003</v>
      </c>
      <c r="O18">
        <v>12.512700000000001</v>
      </c>
      <c r="P18" t="s">
        <v>54</v>
      </c>
      <c r="Q18" t="s">
        <v>55</v>
      </c>
      <c r="R18" t="s">
        <v>115</v>
      </c>
      <c r="S18" t="s">
        <v>61</v>
      </c>
      <c r="T18">
        <v>77</v>
      </c>
      <c r="U18">
        <v>4</v>
      </c>
      <c r="V18">
        <v>19</v>
      </c>
      <c r="W18">
        <v>9</v>
      </c>
      <c r="X18">
        <v>2</v>
      </c>
      <c r="Y18" t="s">
        <v>116</v>
      </c>
      <c r="Z18" t="s">
        <v>117</v>
      </c>
      <c r="AA18" t="s">
        <v>53</v>
      </c>
      <c r="AB18">
        <v>4</v>
      </c>
    </row>
    <row r="19" spans="1:28" x14ac:dyDescent="0.3">
      <c r="A19">
        <v>45742.689317129632</v>
      </c>
      <c r="B19">
        <v>45742.694571759261</v>
      </c>
      <c r="C19">
        <v>0</v>
      </c>
      <c r="D19" t="s">
        <v>51</v>
      </c>
      <c r="E19">
        <v>100</v>
      </c>
      <c r="F19">
        <v>453</v>
      </c>
      <c r="G19">
        <v>1</v>
      </c>
      <c r="H19">
        <v>45742.694577442133</v>
      </c>
      <c r="I19" t="s">
        <v>118</v>
      </c>
      <c r="J19" t="s">
        <v>53</v>
      </c>
      <c r="K19" t="s">
        <v>53</v>
      </c>
      <c r="L19" t="s">
        <v>53</v>
      </c>
      <c r="M19" t="s">
        <v>53</v>
      </c>
      <c r="N19">
        <v>41.890500000000003</v>
      </c>
      <c r="O19">
        <v>12.512700000000001</v>
      </c>
      <c r="P19" t="s">
        <v>54</v>
      </c>
      <c r="Q19" t="s">
        <v>55</v>
      </c>
      <c r="R19" t="s">
        <v>115</v>
      </c>
      <c r="S19" t="s">
        <v>57</v>
      </c>
      <c r="T19">
        <v>1</v>
      </c>
      <c r="U19">
        <v>8</v>
      </c>
      <c r="V19">
        <v>83</v>
      </c>
      <c r="W19">
        <v>16</v>
      </c>
      <c r="X19">
        <v>1</v>
      </c>
      <c r="Y19" t="s">
        <v>119</v>
      </c>
      <c r="Z19" t="s">
        <v>120</v>
      </c>
      <c r="AA19">
        <v>8</v>
      </c>
      <c r="AB19" t="s">
        <v>53</v>
      </c>
    </row>
    <row r="20" spans="1:28" x14ac:dyDescent="0.3">
      <c r="A20">
        <v>45743.661377314813</v>
      </c>
      <c r="B20">
        <v>45743.672615740739</v>
      </c>
      <c r="C20">
        <v>0</v>
      </c>
      <c r="D20" t="s">
        <v>51</v>
      </c>
      <c r="E20">
        <v>100</v>
      </c>
      <c r="F20">
        <v>970</v>
      </c>
      <c r="G20">
        <v>1</v>
      </c>
      <c r="H20">
        <v>45743.672624178238</v>
      </c>
      <c r="I20" t="s">
        <v>121</v>
      </c>
      <c r="J20" t="s">
        <v>53</v>
      </c>
      <c r="K20" t="s">
        <v>53</v>
      </c>
      <c r="L20" t="s">
        <v>53</v>
      </c>
      <c r="M20" t="s">
        <v>53</v>
      </c>
      <c r="N20">
        <v>41.890500000000003</v>
      </c>
      <c r="O20">
        <v>12.512700000000001</v>
      </c>
      <c r="P20" t="s">
        <v>54</v>
      </c>
      <c r="Q20" t="s">
        <v>55</v>
      </c>
      <c r="R20" t="s">
        <v>122</v>
      </c>
      <c r="S20" t="s">
        <v>57</v>
      </c>
      <c r="T20">
        <v>36</v>
      </c>
      <c r="U20">
        <v>0</v>
      </c>
      <c r="V20">
        <v>14</v>
      </c>
      <c r="W20">
        <v>0</v>
      </c>
      <c r="X20">
        <v>0</v>
      </c>
      <c r="Y20" t="s">
        <v>116</v>
      </c>
      <c r="Z20" t="s">
        <v>123</v>
      </c>
      <c r="AA20">
        <v>0</v>
      </c>
      <c r="AB20" t="s">
        <v>53</v>
      </c>
    </row>
    <row r="21" spans="1:28" hidden="1" x14ac:dyDescent="0.3">
      <c r="A21">
        <v>45743.672696759262</v>
      </c>
      <c r="B21">
        <v>45743.677002314813</v>
      </c>
      <c r="C21">
        <v>0</v>
      </c>
      <c r="D21" t="s">
        <v>51</v>
      </c>
      <c r="E21">
        <v>100</v>
      </c>
      <c r="F21">
        <v>371</v>
      </c>
      <c r="G21">
        <v>1</v>
      </c>
      <c r="H21">
        <v>45743.677012511573</v>
      </c>
      <c r="I21" t="s">
        <v>124</v>
      </c>
      <c r="J21" t="s">
        <v>53</v>
      </c>
      <c r="K21" t="s">
        <v>53</v>
      </c>
      <c r="L21" t="s">
        <v>53</v>
      </c>
      <c r="M21" t="s">
        <v>53</v>
      </c>
      <c r="N21">
        <v>41.890500000000003</v>
      </c>
      <c r="O21">
        <v>12.512700000000001</v>
      </c>
      <c r="P21" t="s">
        <v>54</v>
      </c>
      <c r="Q21" t="s">
        <v>55</v>
      </c>
      <c r="R21" t="s">
        <v>122</v>
      </c>
      <c r="S21" t="s">
        <v>61</v>
      </c>
      <c r="T21">
        <v>61</v>
      </c>
      <c r="U21">
        <v>0</v>
      </c>
      <c r="V21">
        <v>33</v>
      </c>
      <c r="W21">
        <v>0</v>
      </c>
      <c r="X21">
        <v>0</v>
      </c>
      <c r="Y21" t="s">
        <v>125</v>
      </c>
      <c r="Z21" t="s">
        <v>126</v>
      </c>
      <c r="AA21" t="s">
        <v>53</v>
      </c>
      <c r="AB21">
        <v>0</v>
      </c>
    </row>
    <row r="22" spans="1:28" x14ac:dyDescent="0.3">
      <c r="A22">
        <v>45747.405277777776</v>
      </c>
      <c r="B22">
        <v>45747.422569444447</v>
      </c>
      <c r="C22">
        <v>0</v>
      </c>
      <c r="D22" t="s">
        <v>51</v>
      </c>
      <c r="E22">
        <v>100</v>
      </c>
      <c r="F22">
        <v>1493</v>
      </c>
      <c r="G22">
        <v>1</v>
      </c>
      <c r="H22">
        <v>45747.422585682871</v>
      </c>
      <c r="I22" t="s">
        <v>127</v>
      </c>
      <c r="J22" t="s">
        <v>53</v>
      </c>
      <c r="K22" t="s">
        <v>53</v>
      </c>
      <c r="L22" t="s">
        <v>53</v>
      </c>
      <c r="M22" t="s">
        <v>53</v>
      </c>
      <c r="N22">
        <v>41.890500000000003</v>
      </c>
      <c r="O22">
        <v>12.512700000000001</v>
      </c>
      <c r="P22" t="s">
        <v>54</v>
      </c>
      <c r="Q22" t="s">
        <v>55</v>
      </c>
      <c r="R22" t="s">
        <v>128</v>
      </c>
      <c r="S22" t="s">
        <v>57</v>
      </c>
      <c r="T22">
        <v>94</v>
      </c>
      <c r="U22">
        <v>94</v>
      </c>
      <c r="V22">
        <v>100</v>
      </c>
      <c r="W22">
        <v>6</v>
      </c>
      <c r="X22">
        <v>1</v>
      </c>
      <c r="Y22" t="s">
        <v>129</v>
      </c>
      <c r="Z22" t="s">
        <v>130</v>
      </c>
      <c r="AA22">
        <v>94</v>
      </c>
      <c r="AB22" t="s">
        <v>53</v>
      </c>
    </row>
    <row r="23" spans="1:28" hidden="1" x14ac:dyDescent="0.3">
      <c r="A23">
        <v>45747.404872685183</v>
      </c>
      <c r="B23">
        <v>45747.430092592593</v>
      </c>
      <c r="C23">
        <v>0</v>
      </c>
      <c r="D23" t="s">
        <v>51</v>
      </c>
      <c r="E23">
        <v>100</v>
      </c>
      <c r="F23">
        <v>2179</v>
      </c>
      <c r="G23">
        <v>1</v>
      </c>
      <c r="H23">
        <v>45747.430107638887</v>
      </c>
      <c r="I23" t="s">
        <v>131</v>
      </c>
      <c r="J23" t="s">
        <v>53</v>
      </c>
      <c r="K23" t="s">
        <v>53</v>
      </c>
      <c r="L23" t="s">
        <v>53</v>
      </c>
      <c r="M23" t="s">
        <v>53</v>
      </c>
      <c r="N23">
        <v>41.890500000000003</v>
      </c>
      <c r="O23">
        <v>12.512700000000001</v>
      </c>
      <c r="P23" t="s">
        <v>54</v>
      </c>
      <c r="Q23" t="s">
        <v>55</v>
      </c>
      <c r="R23" t="s">
        <v>132</v>
      </c>
      <c r="S23" t="s">
        <v>61</v>
      </c>
      <c r="T23">
        <v>0</v>
      </c>
      <c r="U23">
        <v>0</v>
      </c>
      <c r="V23">
        <v>27</v>
      </c>
      <c r="W23">
        <v>0</v>
      </c>
      <c r="X23">
        <v>0</v>
      </c>
      <c r="Y23" t="s">
        <v>133</v>
      </c>
      <c r="Z23" t="s">
        <v>134</v>
      </c>
      <c r="AA23" t="s">
        <v>53</v>
      </c>
      <c r="AB23">
        <v>0</v>
      </c>
    </row>
    <row r="24" spans="1:28" hidden="1" x14ac:dyDescent="0.3">
      <c r="A24">
        <v>45747.432442129626</v>
      </c>
      <c r="B24">
        <v>45747.441331018519</v>
      </c>
      <c r="C24">
        <v>0</v>
      </c>
      <c r="D24" t="s">
        <v>51</v>
      </c>
      <c r="E24">
        <v>100</v>
      </c>
      <c r="F24">
        <v>767</v>
      </c>
      <c r="G24">
        <v>1</v>
      </c>
      <c r="H24">
        <v>45747.441338842589</v>
      </c>
      <c r="I24" t="s">
        <v>135</v>
      </c>
      <c r="J24" t="s">
        <v>53</v>
      </c>
      <c r="K24" t="s">
        <v>53</v>
      </c>
      <c r="L24" t="s">
        <v>53</v>
      </c>
      <c r="M24" t="s">
        <v>53</v>
      </c>
      <c r="N24">
        <v>41.890500000000003</v>
      </c>
      <c r="O24">
        <v>12.512700000000001</v>
      </c>
      <c r="P24" t="s">
        <v>54</v>
      </c>
      <c r="Q24" t="s">
        <v>55</v>
      </c>
      <c r="R24" t="s">
        <v>136</v>
      </c>
      <c r="S24" t="s">
        <v>61</v>
      </c>
      <c r="T24">
        <v>100</v>
      </c>
      <c r="U24">
        <v>97</v>
      </c>
      <c r="V24">
        <v>100</v>
      </c>
      <c r="W24">
        <v>50</v>
      </c>
      <c r="X24">
        <v>0</v>
      </c>
      <c r="Y24" t="s">
        <v>91</v>
      </c>
      <c r="Z24" t="s">
        <v>137</v>
      </c>
      <c r="AA24" t="s">
        <v>53</v>
      </c>
      <c r="AB24">
        <v>97</v>
      </c>
    </row>
    <row r="25" spans="1:28" x14ac:dyDescent="0.3">
      <c r="A25">
        <v>45747.432256944441</v>
      </c>
      <c r="B25">
        <v>45747.44195601852</v>
      </c>
      <c r="C25">
        <v>0</v>
      </c>
      <c r="D25" t="s">
        <v>51</v>
      </c>
      <c r="E25">
        <v>100</v>
      </c>
      <c r="F25">
        <v>838</v>
      </c>
      <c r="G25">
        <v>1</v>
      </c>
      <c r="H25">
        <v>45747.441966828701</v>
      </c>
      <c r="I25" t="s">
        <v>138</v>
      </c>
      <c r="J25" t="s">
        <v>53</v>
      </c>
      <c r="K25" t="s">
        <v>53</v>
      </c>
      <c r="L25" t="s">
        <v>53</v>
      </c>
      <c r="M25" t="s">
        <v>53</v>
      </c>
      <c r="N25">
        <v>41.890500000000003</v>
      </c>
      <c r="O25">
        <v>12.512700000000001</v>
      </c>
      <c r="P25" t="s">
        <v>54</v>
      </c>
      <c r="Q25" t="s">
        <v>55</v>
      </c>
      <c r="R25" t="s">
        <v>139</v>
      </c>
      <c r="S25" t="s">
        <v>57</v>
      </c>
      <c r="T25">
        <v>2</v>
      </c>
      <c r="U25">
        <v>0</v>
      </c>
      <c r="V25">
        <v>32</v>
      </c>
      <c r="W25">
        <v>0</v>
      </c>
      <c r="X25">
        <v>0</v>
      </c>
      <c r="Y25" t="s">
        <v>140</v>
      </c>
      <c r="Z25" t="s">
        <v>141</v>
      </c>
      <c r="AA25">
        <v>0</v>
      </c>
      <c r="AB25" t="s">
        <v>53</v>
      </c>
    </row>
    <row r="26" spans="1:28" hidden="1" x14ac:dyDescent="0.3">
      <c r="A26">
        <v>45751.46837962963</v>
      </c>
      <c r="B26">
        <v>45751.469560185185</v>
      </c>
      <c r="C26">
        <v>0</v>
      </c>
      <c r="D26" t="s">
        <v>51</v>
      </c>
      <c r="E26">
        <v>100</v>
      </c>
      <c r="F26">
        <v>102</v>
      </c>
      <c r="G26">
        <v>1</v>
      </c>
      <c r="H26">
        <v>45751.469573182869</v>
      </c>
      <c r="I26" t="s">
        <v>142</v>
      </c>
      <c r="J26" t="s">
        <v>53</v>
      </c>
      <c r="K26" t="s">
        <v>53</v>
      </c>
      <c r="L26" t="s">
        <v>53</v>
      </c>
      <c r="M26" t="s">
        <v>53</v>
      </c>
      <c r="N26">
        <v>41.890500000000003</v>
      </c>
      <c r="O26">
        <v>12.512700000000001</v>
      </c>
      <c r="P26" t="s">
        <v>54</v>
      </c>
      <c r="Q26" t="s">
        <v>55</v>
      </c>
      <c r="R26" t="s">
        <v>143</v>
      </c>
      <c r="S26" t="s">
        <v>61</v>
      </c>
      <c r="T26">
        <v>35</v>
      </c>
      <c r="U26">
        <v>9</v>
      </c>
      <c r="V26">
        <v>4</v>
      </c>
      <c r="W26">
        <v>8</v>
      </c>
      <c r="X26">
        <v>15</v>
      </c>
      <c r="Y26" t="s">
        <v>125</v>
      </c>
      <c r="Z26" t="s">
        <v>103</v>
      </c>
      <c r="AA26" t="s">
        <v>53</v>
      </c>
      <c r="AB26">
        <v>9</v>
      </c>
    </row>
    <row r="27" spans="1:28" x14ac:dyDescent="0.3">
      <c r="A27">
        <v>45751.470555555556</v>
      </c>
      <c r="B27">
        <v>45751.479363425926</v>
      </c>
      <c r="C27">
        <v>0</v>
      </c>
      <c r="D27" t="s">
        <v>51</v>
      </c>
      <c r="E27">
        <v>100</v>
      </c>
      <c r="F27">
        <v>760</v>
      </c>
      <c r="G27">
        <v>1</v>
      </c>
      <c r="H27">
        <v>45751.479378518517</v>
      </c>
      <c r="I27" t="s">
        <v>144</v>
      </c>
      <c r="J27" t="s">
        <v>53</v>
      </c>
      <c r="K27" t="s">
        <v>53</v>
      </c>
      <c r="L27" t="s">
        <v>53</v>
      </c>
      <c r="M27" t="s">
        <v>53</v>
      </c>
      <c r="N27">
        <v>41.890500000000003</v>
      </c>
      <c r="O27">
        <v>12.512700000000001</v>
      </c>
      <c r="P27" t="s">
        <v>54</v>
      </c>
      <c r="Q27" t="s">
        <v>55</v>
      </c>
      <c r="R27" t="s">
        <v>143</v>
      </c>
      <c r="S27" t="s">
        <v>57</v>
      </c>
      <c r="T27">
        <v>12</v>
      </c>
      <c r="U27">
        <v>4</v>
      </c>
      <c r="V27">
        <v>24</v>
      </c>
      <c r="W27">
        <v>5</v>
      </c>
      <c r="X27">
        <v>5</v>
      </c>
      <c r="Y27" t="s">
        <v>145</v>
      </c>
      <c r="Z27" t="s">
        <v>103</v>
      </c>
      <c r="AA27">
        <v>4</v>
      </c>
      <c r="AB27" t="s">
        <v>53</v>
      </c>
    </row>
    <row r="28" spans="1:28" x14ac:dyDescent="0.3">
      <c r="A28">
        <v>45833.533599537041</v>
      </c>
      <c r="B28">
        <v>45833.535011574073</v>
      </c>
      <c r="C28">
        <v>0</v>
      </c>
      <c r="D28" t="s">
        <v>51</v>
      </c>
      <c r="E28">
        <v>100</v>
      </c>
      <c r="F28">
        <v>121</v>
      </c>
      <c r="G28">
        <v>1</v>
      </c>
      <c r="H28">
        <v>45833.535019953706</v>
      </c>
      <c r="I28" t="s">
        <v>146</v>
      </c>
      <c r="J28" t="s">
        <v>53</v>
      </c>
      <c r="K28" t="s">
        <v>53</v>
      </c>
      <c r="L28" t="s">
        <v>53</v>
      </c>
      <c r="M28" t="s">
        <v>53</v>
      </c>
      <c r="N28">
        <v>41.292000000000002</v>
      </c>
      <c r="O28">
        <v>13.244</v>
      </c>
      <c r="P28" t="s">
        <v>54</v>
      </c>
      <c r="Q28" t="s">
        <v>55</v>
      </c>
      <c r="R28" t="s">
        <v>147</v>
      </c>
      <c r="S28" t="s">
        <v>57</v>
      </c>
      <c r="T28">
        <v>6</v>
      </c>
      <c r="U28">
        <v>13</v>
      </c>
      <c r="V28">
        <v>26</v>
      </c>
      <c r="W28">
        <v>15</v>
      </c>
      <c r="X28">
        <v>6</v>
      </c>
      <c r="Y28" t="s">
        <v>148</v>
      </c>
      <c r="Z28" t="s">
        <v>103</v>
      </c>
      <c r="AA28">
        <v>13</v>
      </c>
      <c r="AB28" t="s">
        <v>53</v>
      </c>
    </row>
    <row r="29" spans="1:28" hidden="1" x14ac:dyDescent="0.3">
      <c r="A29">
        <v>45833.535983796297</v>
      </c>
      <c r="B29">
        <v>45833.537800925929</v>
      </c>
      <c r="C29">
        <v>0</v>
      </c>
      <c r="D29" t="s">
        <v>51</v>
      </c>
      <c r="E29">
        <v>100</v>
      </c>
      <c r="F29">
        <v>157</v>
      </c>
      <c r="G29">
        <v>1</v>
      </c>
      <c r="H29">
        <v>45833.537811886577</v>
      </c>
      <c r="I29" t="s">
        <v>149</v>
      </c>
      <c r="J29" t="s">
        <v>53</v>
      </c>
      <c r="K29" t="s">
        <v>53</v>
      </c>
      <c r="L29" t="s">
        <v>53</v>
      </c>
      <c r="M29" t="s">
        <v>53</v>
      </c>
      <c r="N29">
        <v>41.292000000000002</v>
      </c>
      <c r="O29">
        <v>13.244</v>
      </c>
      <c r="P29" t="s">
        <v>54</v>
      </c>
      <c r="Q29" t="s">
        <v>55</v>
      </c>
      <c r="R29" t="s">
        <v>147</v>
      </c>
      <c r="S29" t="s">
        <v>61</v>
      </c>
      <c r="T29">
        <v>49</v>
      </c>
      <c r="U29">
        <v>13</v>
      </c>
      <c r="V29">
        <v>49</v>
      </c>
      <c r="W29">
        <v>14</v>
      </c>
      <c r="X29">
        <v>5</v>
      </c>
      <c r="Y29" t="s">
        <v>150</v>
      </c>
      <c r="Z29" t="s">
        <v>151</v>
      </c>
      <c r="AA29" t="s">
        <v>53</v>
      </c>
      <c r="AB29">
        <v>13</v>
      </c>
    </row>
    <row r="30" spans="1:28" hidden="1" x14ac:dyDescent="0.3">
      <c r="A30">
        <v>45833.563935185186</v>
      </c>
      <c r="B30">
        <v>45833.565879629627</v>
      </c>
      <c r="C30">
        <v>0</v>
      </c>
      <c r="D30" t="s">
        <v>51</v>
      </c>
      <c r="E30">
        <v>100</v>
      </c>
      <c r="F30">
        <v>167</v>
      </c>
      <c r="G30">
        <v>1</v>
      </c>
      <c r="H30">
        <v>45833.565886388889</v>
      </c>
      <c r="I30" t="s">
        <v>152</v>
      </c>
      <c r="J30" t="s">
        <v>53</v>
      </c>
      <c r="K30" t="s">
        <v>53</v>
      </c>
      <c r="L30" t="s">
        <v>53</v>
      </c>
      <c r="M30" t="s">
        <v>53</v>
      </c>
      <c r="N30">
        <v>41.292000000000002</v>
      </c>
      <c r="O30">
        <v>13.244</v>
      </c>
      <c r="P30" t="s">
        <v>54</v>
      </c>
      <c r="Q30" t="s">
        <v>55</v>
      </c>
      <c r="R30" t="s">
        <v>153</v>
      </c>
      <c r="S30" t="s">
        <v>61</v>
      </c>
      <c r="T30">
        <v>49</v>
      </c>
      <c r="U30">
        <v>23</v>
      </c>
      <c r="V30">
        <v>42</v>
      </c>
      <c r="W30">
        <v>29</v>
      </c>
      <c r="X30">
        <v>9</v>
      </c>
      <c r="Y30" t="s">
        <v>154</v>
      </c>
      <c r="Z30" t="s">
        <v>155</v>
      </c>
      <c r="AA30" t="s">
        <v>53</v>
      </c>
      <c r="AB30">
        <v>23</v>
      </c>
    </row>
    <row r="31" spans="1:28" x14ac:dyDescent="0.3">
      <c r="A31">
        <v>45833.570208333331</v>
      </c>
      <c r="B31">
        <v>45833.571180555555</v>
      </c>
      <c r="C31">
        <v>0</v>
      </c>
      <c r="D31" t="s">
        <v>51</v>
      </c>
      <c r="E31">
        <v>100</v>
      </c>
      <c r="F31">
        <v>84</v>
      </c>
      <c r="G31">
        <v>1</v>
      </c>
      <c r="H31">
        <v>45833.571194930555</v>
      </c>
      <c r="I31" t="s">
        <v>156</v>
      </c>
      <c r="J31" t="s">
        <v>53</v>
      </c>
      <c r="K31" t="s">
        <v>53</v>
      </c>
      <c r="L31" t="s">
        <v>53</v>
      </c>
      <c r="M31" t="s">
        <v>53</v>
      </c>
      <c r="N31">
        <v>41.292000000000002</v>
      </c>
      <c r="O31">
        <v>13.244</v>
      </c>
      <c r="P31" t="s">
        <v>54</v>
      </c>
      <c r="Q31" t="s">
        <v>55</v>
      </c>
      <c r="R31" t="s">
        <v>153</v>
      </c>
      <c r="S31" t="s">
        <v>57</v>
      </c>
      <c r="T31">
        <v>0</v>
      </c>
      <c r="U31">
        <v>9</v>
      </c>
      <c r="V31">
        <v>61</v>
      </c>
      <c r="W31">
        <v>8</v>
      </c>
      <c r="X31">
        <v>0</v>
      </c>
      <c r="Y31" t="s">
        <v>157</v>
      </c>
      <c r="Z31" t="s">
        <v>158</v>
      </c>
      <c r="AA31">
        <v>9</v>
      </c>
      <c r="AB31" t="s">
        <v>53</v>
      </c>
    </row>
    <row r="32" spans="1:28" x14ac:dyDescent="0.3">
      <c r="A32">
        <v>45835.489340277774</v>
      </c>
      <c r="B32">
        <v>45835.498564814814</v>
      </c>
      <c r="C32">
        <v>0</v>
      </c>
      <c r="D32" t="s">
        <v>51</v>
      </c>
      <c r="E32">
        <v>100</v>
      </c>
      <c r="F32">
        <v>797</v>
      </c>
      <c r="G32">
        <v>1</v>
      </c>
      <c r="H32">
        <v>45835.498575717589</v>
      </c>
      <c r="I32" t="s">
        <v>159</v>
      </c>
      <c r="J32" t="s">
        <v>53</v>
      </c>
      <c r="K32" t="s">
        <v>53</v>
      </c>
      <c r="L32" t="s">
        <v>53</v>
      </c>
      <c r="M32" t="s">
        <v>53</v>
      </c>
      <c r="N32">
        <v>41.890500000000003</v>
      </c>
      <c r="O32">
        <v>12.512700000000001</v>
      </c>
      <c r="P32" t="s">
        <v>54</v>
      </c>
      <c r="Q32" t="s">
        <v>55</v>
      </c>
      <c r="R32" t="s">
        <v>160</v>
      </c>
      <c r="S32" t="s">
        <v>57</v>
      </c>
      <c r="T32">
        <v>36</v>
      </c>
      <c r="U32">
        <v>6</v>
      </c>
      <c r="V32">
        <v>7</v>
      </c>
      <c r="W32">
        <v>5</v>
      </c>
      <c r="X32">
        <v>0</v>
      </c>
      <c r="Y32" t="s">
        <v>161</v>
      </c>
      <c r="Z32" t="s">
        <v>162</v>
      </c>
      <c r="AA32">
        <v>6</v>
      </c>
      <c r="AB32" t="s">
        <v>53</v>
      </c>
    </row>
    <row r="33" spans="1:28" hidden="1" x14ac:dyDescent="0.3">
      <c r="A33">
        <v>45835.498784722222</v>
      </c>
      <c r="B33">
        <v>45835.502627314818</v>
      </c>
      <c r="C33">
        <v>0</v>
      </c>
      <c r="D33" t="s">
        <v>51</v>
      </c>
      <c r="E33">
        <v>100</v>
      </c>
      <c r="F33">
        <v>331</v>
      </c>
      <c r="G33">
        <v>1</v>
      </c>
      <c r="H33">
        <v>45835.502640601851</v>
      </c>
      <c r="I33" t="s">
        <v>163</v>
      </c>
      <c r="J33" t="s">
        <v>53</v>
      </c>
      <c r="K33" t="s">
        <v>53</v>
      </c>
      <c r="L33" t="s">
        <v>53</v>
      </c>
      <c r="M33" t="s">
        <v>53</v>
      </c>
      <c r="N33">
        <v>41.890500000000003</v>
      </c>
      <c r="O33">
        <v>12.512700000000001</v>
      </c>
      <c r="P33" t="s">
        <v>54</v>
      </c>
      <c r="Q33" t="s">
        <v>55</v>
      </c>
      <c r="R33" t="s">
        <v>160</v>
      </c>
      <c r="S33" t="s">
        <v>61</v>
      </c>
      <c r="T33">
        <v>58</v>
      </c>
      <c r="U33">
        <v>4</v>
      </c>
      <c r="V33">
        <v>9</v>
      </c>
      <c r="W33">
        <v>1</v>
      </c>
      <c r="X33">
        <v>1</v>
      </c>
      <c r="Y33" t="s">
        <v>164</v>
      </c>
      <c r="Z33" t="s">
        <v>165</v>
      </c>
      <c r="AA33" t="s">
        <v>53</v>
      </c>
      <c r="AB33">
        <v>4</v>
      </c>
    </row>
    <row r="34" spans="1:28" hidden="1" x14ac:dyDescent="0.3">
      <c r="A34">
        <v>45840.566388888888</v>
      </c>
      <c r="B34">
        <v>45840.579930555556</v>
      </c>
      <c r="C34">
        <v>0</v>
      </c>
      <c r="D34" t="s">
        <v>51</v>
      </c>
      <c r="E34">
        <v>100</v>
      </c>
      <c r="F34">
        <v>1170</v>
      </c>
      <c r="G34">
        <v>1</v>
      </c>
      <c r="H34">
        <v>45840.579947245373</v>
      </c>
      <c r="I34" t="s">
        <v>166</v>
      </c>
      <c r="J34" t="s">
        <v>53</v>
      </c>
      <c r="K34" t="s">
        <v>53</v>
      </c>
      <c r="L34" t="s">
        <v>53</v>
      </c>
      <c r="M34" t="s">
        <v>53</v>
      </c>
      <c r="N34">
        <v>41.890500000000003</v>
      </c>
      <c r="O34">
        <v>12.512700000000001</v>
      </c>
      <c r="P34" t="s">
        <v>54</v>
      </c>
      <c r="Q34" t="s">
        <v>55</v>
      </c>
      <c r="R34" t="s">
        <v>167</v>
      </c>
      <c r="S34" t="s">
        <v>61</v>
      </c>
      <c r="T34">
        <v>6</v>
      </c>
      <c r="U34">
        <v>8</v>
      </c>
      <c r="V34">
        <v>6</v>
      </c>
      <c r="W34">
        <v>8</v>
      </c>
      <c r="X34">
        <v>0</v>
      </c>
      <c r="Y34" t="s">
        <v>168</v>
      </c>
      <c r="Z34" t="s">
        <v>169</v>
      </c>
      <c r="AA34" t="s">
        <v>53</v>
      </c>
      <c r="AB34">
        <v>8</v>
      </c>
    </row>
    <row r="35" spans="1:28" x14ac:dyDescent="0.3">
      <c r="A35">
        <v>45840.580428240741</v>
      </c>
      <c r="B35">
        <v>45840.583657407406</v>
      </c>
      <c r="C35">
        <v>0</v>
      </c>
      <c r="D35" t="s">
        <v>51</v>
      </c>
      <c r="E35">
        <v>100</v>
      </c>
      <c r="F35">
        <v>278</v>
      </c>
      <c r="G35">
        <v>1</v>
      </c>
      <c r="H35">
        <v>45840.583663379628</v>
      </c>
      <c r="I35" t="s">
        <v>170</v>
      </c>
      <c r="J35" t="s">
        <v>53</v>
      </c>
      <c r="K35" t="s">
        <v>53</v>
      </c>
      <c r="L35" t="s">
        <v>53</v>
      </c>
      <c r="M35" t="s">
        <v>53</v>
      </c>
      <c r="N35">
        <v>41.890500000000003</v>
      </c>
      <c r="O35">
        <v>12.512700000000001</v>
      </c>
      <c r="P35" t="s">
        <v>54</v>
      </c>
      <c r="Q35" t="s">
        <v>55</v>
      </c>
      <c r="R35" t="s">
        <v>167</v>
      </c>
      <c r="S35" t="s">
        <v>57</v>
      </c>
      <c r="T35">
        <v>26</v>
      </c>
      <c r="U35">
        <v>0</v>
      </c>
      <c r="V35">
        <v>16</v>
      </c>
      <c r="W35">
        <v>0</v>
      </c>
      <c r="X35">
        <v>0</v>
      </c>
      <c r="Y35" t="s">
        <v>168</v>
      </c>
      <c r="Z35" t="s">
        <v>171</v>
      </c>
      <c r="AA35">
        <v>0</v>
      </c>
      <c r="AB35" t="s">
        <v>53</v>
      </c>
    </row>
    <row r="36" spans="1:28" x14ac:dyDescent="0.3">
      <c r="A36">
        <v>45930.623564814814</v>
      </c>
      <c r="B36">
        <v>45930.630914351852</v>
      </c>
      <c r="C36">
        <v>0</v>
      </c>
      <c r="D36" t="s">
        <v>186</v>
      </c>
      <c r="E36">
        <v>100</v>
      </c>
      <c r="F36">
        <v>634</v>
      </c>
      <c r="G36">
        <v>1</v>
      </c>
      <c r="H36">
        <v>45930.630924108795</v>
      </c>
      <c r="I36" t="s">
        <v>187</v>
      </c>
      <c r="J36" t="s">
        <v>53</v>
      </c>
      <c r="K36" t="s">
        <v>53</v>
      </c>
      <c r="L36" t="s">
        <v>53</v>
      </c>
      <c r="M36" t="s">
        <v>53</v>
      </c>
      <c r="N36">
        <v>41.890500000000003</v>
      </c>
      <c r="O36">
        <v>12.512700000000001</v>
      </c>
      <c r="P36" t="s">
        <v>54</v>
      </c>
      <c r="Q36" t="s">
        <v>55</v>
      </c>
      <c r="R36" t="s">
        <v>188</v>
      </c>
      <c r="S36" t="s">
        <v>57</v>
      </c>
      <c r="T36">
        <v>47</v>
      </c>
      <c r="U36">
        <v>14</v>
      </c>
      <c r="V36">
        <v>14</v>
      </c>
      <c r="W36">
        <v>19</v>
      </c>
      <c r="X36">
        <v>9</v>
      </c>
      <c r="Y36" t="s">
        <v>189</v>
      </c>
      <c r="Z36" t="s">
        <v>190</v>
      </c>
    </row>
    <row r="37" spans="1:28" hidden="1" x14ac:dyDescent="0.3">
      <c r="A37">
        <v>45930.63108796296</v>
      </c>
      <c r="B37">
        <v>45930.635972222219</v>
      </c>
      <c r="C37">
        <v>0</v>
      </c>
      <c r="D37" t="s">
        <v>186</v>
      </c>
      <c r="E37">
        <v>100</v>
      </c>
      <c r="F37">
        <v>421</v>
      </c>
      <c r="G37">
        <v>1</v>
      </c>
      <c r="H37">
        <v>45930.635980949075</v>
      </c>
      <c r="I37" t="s">
        <v>191</v>
      </c>
      <c r="J37" t="s">
        <v>53</v>
      </c>
      <c r="K37" t="s">
        <v>53</v>
      </c>
      <c r="L37" t="s">
        <v>53</v>
      </c>
      <c r="M37" t="s">
        <v>53</v>
      </c>
      <c r="N37">
        <v>41.890500000000003</v>
      </c>
      <c r="O37">
        <v>12.512700000000001</v>
      </c>
      <c r="P37" t="s">
        <v>54</v>
      </c>
      <c r="Q37" t="s">
        <v>55</v>
      </c>
      <c r="R37" t="s">
        <v>188</v>
      </c>
      <c r="S37" t="s">
        <v>61</v>
      </c>
      <c r="T37">
        <v>1</v>
      </c>
      <c r="U37">
        <v>48</v>
      </c>
      <c r="V37">
        <v>78</v>
      </c>
      <c r="W37">
        <v>45</v>
      </c>
      <c r="X37">
        <v>30</v>
      </c>
      <c r="Y37" t="s">
        <v>192</v>
      </c>
      <c r="Z37" t="s">
        <v>193</v>
      </c>
    </row>
    <row r="38" spans="1:28" hidden="1" x14ac:dyDescent="0.3">
      <c r="A38">
        <v>45938.527974537035</v>
      </c>
      <c r="B38">
        <v>45938.554155092592</v>
      </c>
      <c r="C38">
        <v>0</v>
      </c>
      <c r="D38" t="s">
        <v>194</v>
      </c>
      <c r="E38">
        <v>100</v>
      </c>
      <c r="F38">
        <v>2262</v>
      </c>
      <c r="G38">
        <v>1</v>
      </c>
      <c r="H38">
        <v>45938.554171006945</v>
      </c>
      <c r="I38" t="s">
        <v>195</v>
      </c>
      <c r="J38" t="s">
        <v>53</v>
      </c>
      <c r="K38" t="s">
        <v>53</v>
      </c>
      <c r="L38" t="s">
        <v>53</v>
      </c>
      <c r="M38" t="s">
        <v>53</v>
      </c>
      <c r="N38">
        <v>41.890500000000003</v>
      </c>
      <c r="O38">
        <v>12.512700000000001</v>
      </c>
      <c r="P38" t="s">
        <v>54</v>
      </c>
      <c r="Q38" t="s">
        <v>55</v>
      </c>
      <c r="R38" t="s">
        <v>196</v>
      </c>
      <c r="S38" t="s">
        <v>61</v>
      </c>
      <c r="T38">
        <v>16</v>
      </c>
      <c r="U38">
        <v>7</v>
      </c>
      <c r="V38">
        <v>1</v>
      </c>
      <c r="W38">
        <v>2</v>
      </c>
      <c r="X38">
        <v>0</v>
      </c>
      <c r="Y38" t="s">
        <v>197</v>
      </c>
      <c r="Z38" t="s">
        <v>198</v>
      </c>
    </row>
    <row r="39" spans="1:28" x14ac:dyDescent="0.3">
      <c r="A39">
        <v>45938.554293981484</v>
      </c>
      <c r="B39">
        <v>45938.556018518517</v>
      </c>
      <c r="C39">
        <v>0</v>
      </c>
      <c r="D39" t="s">
        <v>194</v>
      </c>
      <c r="E39">
        <v>100</v>
      </c>
      <c r="F39">
        <v>149</v>
      </c>
      <c r="G39">
        <v>1</v>
      </c>
      <c r="H39">
        <v>45938.556033321758</v>
      </c>
      <c r="I39" t="s">
        <v>199</v>
      </c>
      <c r="J39" t="s">
        <v>53</v>
      </c>
      <c r="K39" t="s">
        <v>53</v>
      </c>
      <c r="L39" t="s">
        <v>53</v>
      </c>
      <c r="M39" t="s">
        <v>53</v>
      </c>
      <c r="N39">
        <v>41.890500000000003</v>
      </c>
      <c r="O39">
        <v>12.512700000000001</v>
      </c>
      <c r="P39" t="s">
        <v>54</v>
      </c>
      <c r="Q39" t="s">
        <v>55</v>
      </c>
      <c r="R39" t="s">
        <v>196</v>
      </c>
      <c r="S39" t="s">
        <v>57</v>
      </c>
      <c r="T39">
        <v>39</v>
      </c>
      <c r="U39">
        <v>10</v>
      </c>
      <c r="V39">
        <v>30</v>
      </c>
      <c r="W39">
        <v>17</v>
      </c>
      <c r="X39">
        <v>1</v>
      </c>
      <c r="Y39" t="s">
        <v>200</v>
      </c>
      <c r="Z39" t="s">
        <v>198</v>
      </c>
    </row>
    <row r="40" spans="1:28" x14ac:dyDescent="0.3">
      <c r="A40">
        <v>45938.558217592596</v>
      </c>
      <c r="B40">
        <v>45938.569386574076</v>
      </c>
      <c r="C40">
        <v>0</v>
      </c>
      <c r="D40" t="s">
        <v>194</v>
      </c>
      <c r="E40">
        <v>100</v>
      </c>
      <c r="F40">
        <v>964</v>
      </c>
      <c r="G40">
        <v>1</v>
      </c>
      <c r="H40">
        <v>45938.569395439816</v>
      </c>
      <c r="I40" t="s">
        <v>201</v>
      </c>
      <c r="J40" t="s">
        <v>53</v>
      </c>
      <c r="K40" t="s">
        <v>53</v>
      </c>
      <c r="L40" t="s">
        <v>53</v>
      </c>
      <c r="M40" t="s">
        <v>53</v>
      </c>
      <c r="N40">
        <v>41.890500000000003</v>
      </c>
      <c r="O40">
        <v>12.512700000000001</v>
      </c>
      <c r="P40" t="s">
        <v>54</v>
      </c>
      <c r="Q40" t="s">
        <v>55</v>
      </c>
      <c r="R40" t="s">
        <v>202</v>
      </c>
      <c r="S40" t="s">
        <v>57</v>
      </c>
      <c r="T40">
        <v>98</v>
      </c>
      <c r="U40">
        <v>13</v>
      </c>
      <c r="V40">
        <v>3</v>
      </c>
      <c r="W40">
        <v>0</v>
      </c>
      <c r="X40">
        <v>2</v>
      </c>
      <c r="Y40" t="s">
        <v>203</v>
      </c>
      <c r="Z40" t="s">
        <v>198</v>
      </c>
    </row>
    <row r="41" spans="1:28" hidden="1" x14ac:dyDescent="0.3">
      <c r="A41">
        <v>45938.569548611114</v>
      </c>
      <c r="B41">
        <v>45938.571712962963</v>
      </c>
      <c r="C41">
        <v>0</v>
      </c>
      <c r="D41" t="s">
        <v>194</v>
      </c>
      <c r="E41">
        <v>100</v>
      </c>
      <c r="F41">
        <v>186</v>
      </c>
      <c r="G41">
        <v>1</v>
      </c>
      <c r="H41">
        <v>45938.571720335647</v>
      </c>
      <c r="I41" t="s">
        <v>204</v>
      </c>
      <c r="J41" t="s">
        <v>53</v>
      </c>
      <c r="K41" t="s">
        <v>53</v>
      </c>
      <c r="L41" t="s">
        <v>53</v>
      </c>
      <c r="M41" t="s">
        <v>53</v>
      </c>
      <c r="N41">
        <v>41.890500000000003</v>
      </c>
      <c r="O41">
        <v>12.512700000000001</v>
      </c>
      <c r="P41" t="s">
        <v>54</v>
      </c>
      <c r="Q41" t="s">
        <v>55</v>
      </c>
      <c r="R41" t="s">
        <v>202</v>
      </c>
      <c r="S41" t="s">
        <v>61</v>
      </c>
      <c r="T41">
        <v>2</v>
      </c>
      <c r="U41">
        <v>26</v>
      </c>
      <c r="V41">
        <v>48</v>
      </c>
      <c r="W41">
        <v>10</v>
      </c>
      <c r="X41">
        <v>13</v>
      </c>
      <c r="Y41" t="s">
        <v>205</v>
      </c>
      <c r="Z41" t="s">
        <v>206</v>
      </c>
    </row>
    <row r="42" spans="1:28" hidden="1" x14ac:dyDescent="0.3">
      <c r="A42">
        <v>45938.573020833333</v>
      </c>
      <c r="B42">
        <v>45938.595150462963</v>
      </c>
      <c r="C42">
        <v>0</v>
      </c>
      <c r="D42" t="s">
        <v>194</v>
      </c>
      <c r="E42">
        <v>100</v>
      </c>
      <c r="F42">
        <v>1912</v>
      </c>
      <c r="G42">
        <v>1</v>
      </c>
      <c r="H42">
        <v>45938.595163460646</v>
      </c>
      <c r="I42" t="s">
        <v>207</v>
      </c>
      <c r="J42" t="s">
        <v>53</v>
      </c>
      <c r="K42" t="s">
        <v>53</v>
      </c>
      <c r="L42" t="s">
        <v>53</v>
      </c>
      <c r="M42" t="s">
        <v>53</v>
      </c>
      <c r="N42">
        <v>41.890500000000003</v>
      </c>
      <c r="O42">
        <v>12.512700000000001</v>
      </c>
      <c r="P42" t="s">
        <v>54</v>
      </c>
      <c r="Q42" t="s">
        <v>55</v>
      </c>
      <c r="R42" t="s">
        <v>208</v>
      </c>
      <c r="S42" t="s">
        <v>61</v>
      </c>
      <c r="T42">
        <v>3</v>
      </c>
      <c r="U42">
        <v>9</v>
      </c>
      <c r="V42">
        <v>3</v>
      </c>
      <c r="W42">
        <v>5</v>
      </c>
      <c r="X42">
        <v>3</v>
      </c>
      <c r="Y42" t="s">
        <v>209</v>
      </c>
      <c r="Z42" t="s">
        <v>103</v>
      </c>
    </row>
    <row r="43" spans="1:28" x14ac:dyDescent="0.3">
      <c r="A43">
        <v>45938.595694444448</v>
      </c>
      <c r="B43">
        <v>45938.598553240743</v>
      </c>
      <c r="C43">
        <v>0</v>
      </c>
      <c r="D43" t="s">
        <v>194</v>
      </c>
      <c r="E43">
        <v>100</v>
      </c>
      <c r="F43">
        <v>247</v>
      </c>
      <c r="G43">
        <v>1</v>
      </c>
      <c r="H43">
        <v>45938.598562060186</v>
      </c>
      <c r="I43" t="s">
        <v>210</v>
      </c>
      <c r="J43" t="s">
        <v>53</v>
      </c>
      <c r="K43" t="s">
        <v>53</v>
      </c>
      <c r="L43" t="s">
        <v>53</v>
      </c>
      <c r="M43" t="s">
        <v>53</v>
      </c>
      <c r="N43">
        <v>41.890500000000003</v>
      </c>
      <c r="O43">
        <v>12.512700000000001</v>
      </c>
      <c r="P43" t="s">
        <v>54</v>
      </c>
      <c r="Q43" t="s">
        <v>55</v>
      </c>
      <c r="R43" t="s">
        <v>208</v>
      </c>
      <c r="S43" t="s">
        <v>57</v>
      </c>
      <c r="T43">
        <v>16</v>
      </c>
      <c r="U43">
        <v>7</v>
      </c>
      <c r="V43">
        <v>23</v>
      </c>
      <c r="W43">
        <v>10</v>
      </c>
      <c r="X43">
        <v>3</v>
      </c>
      <c r="Y43" t="s">
        <v>211</v>
      </c>
      <c r="Z43" t="s">
        <v>212</v>
      </c>
    </row>
    <row r="44" spans="1:28" x14ac:dyDescent="0.3">
      <c r="A44">
        <v>45938.601909722223</v>
      </c>
      <c r="B44">
        <v>45938.606932870367</v>
      </c>
      <c r="C44">
        <v>0</v>
      </c>
      <c r="D44" t="s">
        <v>194</v>
      </c>
      <c r="E44">
        <v>100</v>
      </c>
      <c r="F44">
        <v>433</v>
      </c>
      <c r="G44">
        <v>1</v>
      </c>
      <c r="H44">
        <v>45938.606942407408</v>
      </c>
      <c r="I44" t="s">
        <v>213</v>
      </c>
      <c r="J44" t="s">
        <v>53</v>
      </c>
      <c r="K44" t="s">
        <v>53</v>
      </c>
      <c r="L44" t="s">
        <v>53</v>
      </c>
      <c r="M44" t="s">
        <v>53</v>
      </c>
      <c r="N44">
        <v>41.890500000000003</v>
      </c>
      <c r="O44">
        <v>12.512700000000001</v>
      </c>
      <c r="P44" t="s">
        <v>54</v>
      </c>
      <c r="Q44" t="s">
        <v>55</v>
      </c>
      <c r="R44" t="s">
        <v>214</v>
      </c>
      <c r="S44" t="s">
        <v>57</v>
      </c>
      <c r="T44">
        <v>34</v>
      </c>
      <c r="U44">
        <v>2</v>
      </c>
      <c r="V44">
        <v>27</v>
      </c>
      <c r="W44">
        <v>11</v>
      </c>
      <c r="X44">
        <v>5</v>
      </c>
      <c r="Y44" t="s">
        <v>215</v>
      </c>
      <c r="Z44" t="s">
        <v>103</v>
      </c>
    </row>
    <row r="45" spans="1:28" hidden="1" x14ac:dyDescent="0.3">
      <c r="A45">
        <v>45938.607129629629</v>
      </c>
      <c r="B45">
        <v>45938.609039351853</v>
      </c>
      <c r="C45">
        <v>0</v>
      </c>
      <c r="D45" t="s">
        <v>194</v>
      </c>
      <c r="E45">
        <v>100</v>
      </c>
      <c r="F45">
        <v>165</v>
      </c>
      <c r="G45">
        <v>1</v>
      </c>
      <c r="H45">
        <v>45938.609064814817</v>
      </c>
      <c r="I45" t="s">
        <v>216</v>
      </c>
      <c r="J45" t="s">
        <v>53</v>
      </c>
      <c r="K45" t="s">
        <v>53</v>
      </c>
      <c r="L45" t="s">
        <v>53</v>
      </c>
      <c r="M45" t="s">
        <v>53</v>
      </c>
      <c r="N45">
        <v>41.890500000000003</v>
      </c>
      <c r="O45">
        <v>12.512700000000001</v>
      </c>
      <c r="P45" t="s">
        <v>54</v>
      </c>
      <c r="Q45" t="s">
        <v>55</v>
      </c>
      <c r="R45" t="s">
        <v>214</v>
      </c>
      <c r="S45" t="s">
        <v>61</v>
      </c>
      <c r="T45">
        <v>62</v>
      </c>
      <c r="U45">
        <v>11</v>
      </c>
      <c r="V45">
        <v>48</v>
      </c>
      <c r="W45">
        <v>24</v>
      </c>
      <c r="X45">
        <v>10</v>
      </c>
      <c r="Y45" t="s">
        <v>215</v>
      </c>
      <c r="Z45" t="s">
        <v>217</v>
      </c>
    </row>
    <row r="46" spans="1:28" hidden="1" x14ac:dyDescent="0.3">
      <c r="A46">
        <v>45938.610891203702</v>
      </c>
      <c r="B46">
        <v>45938.627118055556</v>
      </c>
      <c r="C46">
        <v>0</v>
      </c>
      <c r="D46" t="s">
        <v>218</v>
      </c>
      <c r="E46">
        <v>100</v>
      </c>
      <c r="F46">
        <v>1402</v>
      </c>
      <c r="G46">
        <v>1</v>
      </c>
      <c r="H46">
        <v>45938.62713212963</v>
      </c>
      <c r="I46" t="s">
        <v>219</v>
      </c>
      <c r="J46" t="s">
        <v>53</v>
      </c>
      <c r="K46" t="s">
        <v>53</v>
      </c>
      <c r="L46" t="s">
        <v>53</v>
      </c>
      <c r="M46" t="s">
        <v>53</v>
      </c>
      <c r="N46">
        <v>41.890500000000003</v>
      </c>
      <c r="O46">
        <v>12.512700000000001</v>
      </c>
      <c r="P46" t="s">
        <v>54</v>
      </c>
      <c r="Q46" t="s">
        <v>55</v>
      </c>
      <c r="R46" t="s">
        <v>220</v>
      </c>
      <c r="S46" t="s">
        <v>61</v>
      </c>
      <c r="T46">
        <v>9</v>
      </c>
      <c r="U46">
        <v>33</v>
      </c>
      <c r="V46">
        <v>5</v>
      </c>
      <c r="W46">
        <v>44</v>
      </c>
      <c r="X46">
        <v>18</v>
      </c>
      <c r="Y46" t="s">
        <v>221</v>
      </c>
      <c r="Z46" t="s">
        <v>222</v>
      </c>
    </row>
    <row r="47" spans="1:28" x14ac:dyDescent="0.3">
      <c r="A47">
        <v>45938.628310185188</v>
      </c>
      <c r="B47">
        <v>45938.630150462966</v>
      </c>
      <c r="C47">
        <v>0</v>
      </c>
      <c r="D47" t="s">
        <v>218</v>
      </c>
      <c r="E47">
        <v>100</v>
      </c>
      <c r="F47">
        <v>159</v>
      </c>
      <c r="G47">
        <v>1</v>
      </c>
      <c r="H47">
        <v>45938.630160891204</v>
      </c>
      <c r="I47" t="s">
        <v>223</v>
      </c>
      <c r="J47" t="s">
        <v>53</v>
      </c>
      <c r="K47" t="s">
        <v>53</v>
      </c>
      <c r="L47" t="s">
        <v>53</v>
      </c>
      <c r="M47" t="s">
        <v>53</v>
      </c>
      <c r="N47">
        <v>41.890500000000003</v>
      </c>
      <c r="O47">
        <v>12.512700000000001</v>
      </c>
      <c r="P47" t="s">
        <v>54</v>
      </c>
      <c r="Q47" t="s">
        <v>55</v>
      </c>
      <c r="R47" t="s">
        <v>220</v>
      </c>
      <c r="S47" t="s">
        <v>57</v>
      </c>
      <c r="T47">
        <v>15</v>
      </c>
      <c r="U47">
        <v>3</v>
      </c>
      <c r="V47">
        <v>1</v>
      </c>
      <c r="W47">
        <v>1</v>
      </c>
      <c r="X47">
        <v>1</v>
      </c>
      <c r="Y47" t="s">
        <v>224</v>
      </c>
      <c r="Z47" t="s">
        <v>225</v>
      </c>
    </row>
    <row r="48" spans="1:28" x14ac:dyDescent="0.3">
      <c r="A48">
        <v>45938.649363425924</v>
      </c>
      <c r="B48">
        <v>45938.67255787037</v>
      </c>
      <c r="C48">
        <v>0</v>
      </c>
      <c r="D48" t="s">
        <v>218</v>
      </c>
      <c r="E48">
        <v>100</v>
      </c>
      <c r="F48">
        <v>2003</v>
      </c>
      <c r="G48">
        <v>1</v>
      </c>
      <c r="H48">
        <v>45938.67256230324</v>
      </c>
      <c r="I48" t="s">
        <v>226</v>
      </c>
      <c r="J48" t="s">
        <v>53</v>
      </c>
      <c r="K48" t="s">
        <v>53</v>
      </c>
      <c r="L48" t="s">
        <v>53</v>
      </c>
      <c r="M48" t="s">
        <v>53</v>
      </c>
      <c r="N48">
        <v>41.890500000000003</v>
      </c>
      <c r="O48">
        <v>12.512700000000001</v>
      </c>
      <c r="P48" t="s">
        <v>54</v>
      </c>
      <c r="Q48" t="s">
        <v>55</v>
      </c>
      <c r="R48" t="s">
        <v>227</v>
      </c>
      <c r="S48" t="s">
        <v>57</v>
      </c>
      <c r="T48">
        <v>36</v>
      </c>
      <c r="U48">
        <v>2</v>
      </c>
      <c r="V48">
        <v>6</v>
      </c>
      <c r="W48">
        <v>0</v>
      </c>
      <c r="X48">
        <v>0</v>
      </c>
      <c r="Y48" t="s">
        <v>228</v>
      </c>
      <c r="Z48" t="s">
        <v>229</v>
      </c>
    </row>
    <row r="49" spans="1:26" hidden="1" x14ac:dyDescent="0.3">
      <c r="A49">
        <v>45938.672662037039</v>
      </c>
      <c r="B49">
        <v>45938.674351851849</v>
      </c>
      <c r="C49">
        <v>0</v>
      </c>
      <c r="D49" t="s">
        <v>218</v>
      </c>
      <c r="E49">
        <v>100</v>
      </c>
      <c r="F49">
        <v>145</v>
      </c>
      <c r="G49">
        <v>1</v>
      </c>
      <c r="H49">
        <v>45938.674358611112</v>
      </c>
      <c r="I49" t="s">
        <v>230</v>
      </c>
      <c r="J49" t="s">
        <v>53</v>
      </c>
      <c r="K49" t="s">
        <v>53</v>
      </c>
      <c r="L49" t="s">
        <v>53</v>
      </c>
      <c r="M49" t="s">
        <v>53</v>
      </c>
      <c r="N49">
        <v>41.890500000000003</v>
      </c>
      <c r="O49">
        <v>12.512700000000001</v>
      </c>
      <c r="P49" t="s">
        <v>54</v>
      </c>
      <c r="Q49" t="s">
        <v>55</v>
      </c>
      <c r="R49" t="s">
        <v>227</v>
      </c>
      <c r="S49" t="s">
        <v>61</v>
      </c>
      <c r="T49">
        <v>29</v>
      </c>
      <c r="U49">
        <v>5</v>
      </c>
      <c r="V49">
        <v>23</v>
      </c>
      <c r="W49">
        <v>5</v>
      </c>
      <c r="X49">
        <v>5</v>
      </c>
      <c r="Y49" t="s">
        <v>125</v>
      </c>
      <c r="Z49" t="s">
        <v>231</v>
      </c>
    </row>
    <row r="50" spans="1:26" hidden="1" x14ac:dyDescent="0.3">
      <c r="A50">
        <v>45940.4846412037</v>
      </c>
      <c r="B50">
        <v>45940.495370370372</v>
      </c>
      <c r="C50">
        <v>0</v>
      </c>
      <c r="D50" t="s">
        <v>246</v>
      </c>
      <c r="E50">
        <v>100</v>
      </c>
      <c r="F50">
        <v>927</v>
      </c>
      <c r="G50">
        <v>1</v>
      </c>
      <c r="H50">
        <v>45940.495386111113</v>
      </c>
      <c r="I50" t="s">
        <v>247</v>
      </c>
      <c r="J50" t="s">
        <v>53</v>
      </c>
      <c r="K50" t="s">
        <v>53</v>
      </c>
      <c r="L50" t="s">
        <v>53</v>
      </c>
      <c r="M50" t="s">
        <v>53</v>
      </c>
      <c r="N50">
        <v>43.1479</v>
      </c>
      <c r="O50">
        <v>12.1097</v>
      </c>
      <c r="P50" t="s">
        <v>54</v>
      </c>
      <c r="Q50" t="s">
        <v>55</v>
      </c>
      <c r="R50" t="s">
        <v>248</v>
      </c>
      <c r="S50" t="s">
        <v>61</v>
      </c>
      <c r="T50">
        <v>9</v>
      </c>
      <c r="U50">
        <v>6</v>
      </c>
      <c r="V50">
        <v>13</v>
      </c>
      <c r="W50">
        <v>2</v>
      </c>
      <c r="X50">
        <v>2</v>
      </c>
      <c r="Y50" t="s">
        <v>249</v>
      </c>
      <c r="Z50" t="s">
        <v>250</v>
      </c>
    </row>
    <row r="51" spans="1:26" x14ac:dyDescent="0.3">
      <c r="A51">
        <v>45940.49554398148</v>
      </c>
      <c r="B51">
        <v>45940.497928240744</v>
      </c>
      <c r="C51">
        <v>0</v>
      </c>
      <c r="D51" t="s">
        <v>246</v>
      </c>
      <c r="E51">
        <v>100</v>
      </c>
      <c r="F51">
        <v>205</v>
      </c>
      <c r="G51">
        <v>1</v>
      </c>
      <c r="H51">
        <v>45940.497934733794</v>
      </c>
      <c r="I51" t="s">
        <v>251</v>
      </c>
      <c r="J51" t="s">
        <v>53</v>
      </c>
      <c r="K51" t="s">
        <v>53</v>
      </c>
      <c r="L51" t="s">
        <v>53</v>
      </c>
      <c r="M51" t="s">
        <v>53</v>
      </c>
      <c r="N51">
        <v>43.1479</v>
      </c>
      <c r="O51">
        <v>12.1097</v>
      </c>
      <c r="P51" t="s">
        <v>54</v>
      </c>
      <c r="Q51" t="s">
        <v>55</v>
      </c>
      <c r="R51" t="s">
        <v>248</v>
      </c>
      <c r="S51" t="s">
        <v>57</v>
      </c>
      <c r="T51">
        <v>22</v>
      </c>
      <c r="U51">
        <v>6</v>
      </c>
      <c r="V51">
        <v>32</v>
      </c>
      <c r="W51">
        <v>21</v>
      </c>
      <c r="X51">
        <v>3</v>
      </c>
      <c r="Y51" t="s">
        <v>252</v>
      </c>
      <c r="Z51" t="s">
        <v>253</v>
      </c>
    </row>
    <row r="52" spans="1:26" x14ac:dyDescent="0.3">
      <c r="A52">
        <v>45940.501030092593</v>
      </c>
      <c r="B52">
        <v>45940.504340277781</v>
      </c>
      <c r="C52">
        <v>0</v>
      </c>
      <c r="D52" t="s">
        <v>246</v>
      </c>
      <c r="E52">
        <v>100</v>
      </c>
      <c r="F52">
        <v>286</v>
      </c>
      <c r="G52">
        <v>1</v>
      </c>
      <c r="H52">
        <v>45940.504354745368</v>
      </c>
      <c r="I52" t="s">
        <v>254</v>
      </c>
      <c r="J52" t="s">
        <v>53</v>
      </c>
      <c r="K52" t="s">
        <v>53</v>
      </c>
      <c r="L52" t="s">
        <v>53</v>
      </c>
      <c r="M52" t="s">
        <v>53</v>
      </c>
      <c r="N52">
        <v>43.1479</v>
      </c>
      <c r="O52">
        <v>12.1097</v>
      </c>
      <c r="P52" t="s">
        <v>54</v>
      </c>
      <c r="Q52" t="s">
        <v>55</v>
      </c>
      <c r="R52" t="s">
        <v>255</v>
      </c>
      <c r="S52" t="s">
        <v>57</v>
      </c>
      <c r="T52">
        <v>15</v>
      </c>
      <c r="U52">
        <v>6</v>
      </c>
      <c r="V52">
        <v>19</v>
      </c>
      <c r="W52">
        <v>25</v>
      </c>
      <c r="X52">
        <v>7</v>
      </c>
      <c r="Y52" t="s">
        <v>256</v>
      </c>
      <c r="Z52" t="s">
        <v>257</v>
      </c>
    </row>
    <row r="53" spans="1:26" hidden="1" x14ac:dyDescent="0.3">
      <c r="A53">
        <v>45940.504467592589</v>
      </c>
      <c r="B53">
        <v>45940.507071759261</v>
      </c>
      <c r="C53">
        <v>0</v>
      </c>
      <c r="D53" t="s">
        <v>246</v>
      </c>
      <c r="E53">
        <v>100</v>
      </c>
      <c r="F53">
        <v>224</v>
      </c>
      <c r="G53">
        <v>1</v>
      </c>
      <c r="H53">
        <v>45940.518948252313</v>
      </c>
      <c r="I53" t="s">
        <v>258</v>
      </c>
      <c r="J53" t="s">
        <v>53</v>
      </c>
      <c r="K53" t="s">
        <v>53</v>
      </c>
      <c r="L53" t="s">
        <v>53</v>
      </c>
      <c r="M53" t="s">
        <v>53</v>
      </c>
      <c r="N53">
        <v>43.1479</v>
      </c>
      <c r="O53">
        <v>12.1097</v>
      </c>
      <c r="P53" t="s">
        <v>54</v>
      </c>
      <c r="Q53" t="s">
        <v>55</v>
      </c>
      <c r="R53" t="s">
        <v>255</v>
      </c>
      <c r="S53" t="s">
        <v>61</v>
      </c>
      <c r="T53">
        <v>6</v>
      </c>
      <c r="U53">
        <v>11</v>
      </c>
      <c r="V53">
        <v>4</v>
      </c>
      <c r="W53">
        <v>11</v>
      </c>
      <c r="X53">
        <v>21</v>
      </c>
      <c r="Y53" t="s">
        <v>259</v>
      </c>
      <c r="Z53" t="s">
        <v>260</v>
      </c>
    </row>
    <row r="54" spans="1:26" x14ac:dyDescent="0.3">
      <c r="A54">
        <v>45940.533865740741</v>
      </c>
      <c r="B54">
        <v>45940.535613425927</v>
      </c>
      <c r="C54">
        <v>0</v>
      </c>
      <c r="D54" t="s">
        <v>246</v>
      </c>
      <c r="E54">
        <v>100</v>
      </c>
      <c r="F54">
        <v>150</v>
      </c>
      <c r="G54">
        <v>1</v>
      </c>
      <c r="H54">
        <v>45940.535622418982</v>
      </c>
      <c r="I54" t="s">
        <v>261</v>
      </c>
      <c r="J54" t="s">
        <v>53</v>
      </c>
      <c r="K54" t="s">
        <v>53</v>
      </c>
      <c r="L54" t="s">
        <v>53</v>
      </c>
      <c r="M54" t="s">
        <v>53</v>
      </c>
      <c r="N54">
        <v>43.1479</v>
      </c>
      <c r="O54">
        <v>12.1097</v>
      </c>
      <c r="P54" t="s">
        <v>54</v>
      </c>
      <c r="Q54" t="s">
        <v>55</v>
      </c>
      <c r="R54" t="s">
        <v>262</v>
      </c>
      <c r="S54" t="s">
        <v>57</v>
      </c>
      <c r="T54">
        <v>30</v>
      </c>
      <c r="U54">
        <v>10</v>
      </c>
      <c r="V54">
        <v>21</v>
      </c>
      <c r="W54">
        <v>6</v>
      </c>
      <c r="X54">
        <v>10</v>
      </c>
      <c r="Y54" t="s">
        <v>263</v>
      </c>
      <c r="Z54" t="s">
        <v>264</v>
      </c>
    </row>
    <row r="55" spans="1:26" hidden="1" x14ac:dyDescent="0.3">
      <c r="A55">
        <v>45940.514965277776</v>
      </c>
      <c r="B55">
        <v>45940.532766203702</v>
      </c>
      <c r="C55">
        <v>0</v>
      </c>
      <c r="D55" t="s">
        <v>246</v>
      </c>
      <c r="E55">
        <v>100</v>
      </c>
      <c r="F55">
        <v>1538</v>
      </c>
      <c r="G55">
        <v>1</v>
      </c>
      <c r="H55">
        <v>45940.545210520831</v>
      </c>
      <c r="I55" t="s">
        <v>265</v>
      </c>
      <c r="J55" t="s">
        <v>53</v>
      </c>
      <c r="K55" t="s">
        <v>53</v>
      </c>
      <c r="L55" t="s">
        <v>53</v>
      </c>
      <c r="M55" t="s">
        <v>53</v>
      </c>
      <c r="N55">
        <v>43.1479</v>
      </c>
      <c r="O55">
        <v>12.1097</v>
      </c>
      <c r="P55" t="s">
        <v>54</v>
      </c>
      <c r="Q55" t="s">
        <v>55</v>
      </c>
      <c r="R55" t="s">
        <v>262</v>
      </c>
      <c r="S55" t="s">
        <v>61</v>
      </c>
      <c r="T55">
        <v>11</v>
      </c>
      <c r="U55">
        <v>21</v>
      </c>
      <c r="V55">
        <v>8</v>
      </c>
      <c r="W55">
        <v>5</v>
      </c>
      <c r="X55">
        <v>7</v>
      </c>
      <c r="Y55" t="s">
        <v>266</v>
      </c>
      <c r="Z55" t="s">
        <v>267</v>
      </c>
    </row>
    <row r="56" spans="1:26" x14ac:dyDescent="0.3">
      <c r="A56">
        <v>45940.55332175926</v>
      </c>
      <c r="B56">
        <v>45940.557372685187</v>
      </c>
      <c r="C56">
        <v>0</v>
      </c>
      <c r="D56" t="s">
        <v>246</v>
      </c>
      <c r="E56">
        <v>100</v>
      </c>
      <c r="F56">
        <v>349</v>
      </c>
      <c r="G56">
        <v>1</v>
      </c>
      <c r="H56">
        <v>45940.557381817132</v>
      </c>
      <c r="I56" t="s">
        <v>268</v>
      </c>
      <c r="J56" t="s">
        <v>53</v>
      </c>
      <c r="K56" t="s">
        <v>53</v>
      </c>
      <c r="L56" t="s">
        <v>53</v>
      </c>
      <c r="M56" t="s">
        <v>53</v>
      </c>
      <c r="N56">
        <v>43.1479</v>
      </c>
      <c r="O56">
        <v>12.1097</v>
      </c>
      <c r="P56" t="s">
        <v>54</v>
      </c>
      <c r="Q56" t="s">
        <v>55</v>
      </c>
      <c r="R56" t="s">
        <v>269</v>
      </c>
      <c r="S56" t="s">
        <v>57</v>
      </c>
      <c r="T56">
        <v>25</v>
      </c>
      <c r="U56">
        <v>10</v>
      </c>
      <c r="V56">
        <v>22</v>
      </c>
      <c r="W56">
        <v>7</v>
      </c>
      <c r="X56">
        <v>3</v>
      </c>
      <c r="Y56" t="s">
        <v>270</v>
      </c>
      <c r="Z56" t="s">
        <v>271</v>
      </c>
    </row>
    <row r="57" spans="1:26" hidden="1" x14ac:dyDescent="0.3">
      <c r="A57">
        <v>45940.557604166665</v>
      </c>
      <c r="B57">
        <v>45940.559270833335</v>
      </c>
      <c r="C57">
        <v>0</v>
      </c>
      <c r="D57" t="s">
        <v>246</v>
      </c>
      <c r="E57">
        <v>100</v>
      </c>
      <c r="F57">
        <v>143</v>
      </c>
      <c r="G57">
        <v>1</v>
      </c>
      <c r="H57">
        <v>45940.55927849537</v>
      </c>
      <c r="I57" t="s">
        <v>272</v>
      </c>
      <c r="J57" t="s">
        <v>53</v>
      </c>
      <c r="K57" t="s">
        <v>53</v>
      </c>
      <c r="L57" t="s">
        <v>53</v>
      </c>
      <c r="M57" t="s">
        <v>53</v>
      </c>
      <c r="N57">
        <v>43.1479</v>
      </c>
      <c r="O57">
        <v>12.1097</v>
      </c>
      <c r="P57" t="s">
        <v>54</v>
      </c>
      <c r="Q57" t="s">
        <v>55</v>
      </c>
      <c r="R57" t="s">
        <v>269</v>
      </c>
      <c r="S57" t="s">
        <v>61</v>
      </c>
      <c r="T57">
        <v>21</v>
      </c>
      <c r="U57">
        <v>4</v>
      </c>
      <c r="V57">
        <v>31</v>
      </c>
      <c r="W57">
        <v>1</v>
      </c>
      <c r="X57">
        <v>1</v>
      </c>
      <c r="Y57" t="s">
        <v>270</v>
      </c>
      <c r="Z57" t="s">
        <v>103</v>
      </c>
    </row>
    <row r="58" spans="1:26" hidden="1" x14ac:dyDescent="0.3">
      <c r="A58">
        <v>45940.563101851854</v>
      </c>
      <c r="B58">
        <v>45940.565763888888</v>
      </c>
      <c r="C58">
        <v>0</v>
      </c>
      <c r="D58" t="s">
        <v>246</v>
      </c>
      <c r="E58">
        <v>100</v>
      </c>
      <c r="F58">
        <v>229</v>
      </c>
      <c r="G58">
        <v>1</v>
      </c>
      <c r="H58">
        <v>45940.56577523148</v>
      </c>
      <c r="I58" t="s">
        <v>273</v>
      </c>
      <c r="J58" t="s">
        <v>53</v>
      </c>
      <c r="K58" t="s">
        <v>53</v>
      </c>
      <c r="L58" t="s">
        <v>53</v>
      </c>
      <c r="M58" t="s">
        <v>53</v>
      </c>
      <c r="N58">
        <v>43.1479</v>
      </c>
      <c r="O58">
        <v>12.1097</v>
      </c>
      <c r="P58" t="s">
        <v>54</v>
      </c>
      <c r="Q58" t="s">
        <v>55</v>
      </c>
      <c r="R58" t="s">
        <v>274</v>
      </c>
      <c r="S58" t="s">
        <v>61</v>
      </c>
      <c r="T58">
        <v>20</v>
      </c>
      <c r="U58">
        <v>12</v>
      </c>
      <c r="V58">
        <v>34</v>
      </c>
      <c r="W58">
        <v>19</v>
      </c>
      <c r="X58">
        <v>3</v>
      </c>
      <c r="Y58" t="s">
        <v>275</v>
      </c>
      <c r="Z58" t="s">
        <v>276</v>
      </c>
    </row>
    <row r="59" spans="1:26" x14ac:dyDescent="0.3">
      <c r="A59">
        <v>45940.566064814811</v>
      </c>
      <c r="B59">
        <v>45940.567291666666</v>
      </c>
      <c r="C59">
        <v>0</v>
      </c>
      <c r="D59" t="s">
        <v>246</v>
      </c>
      <c r="E59">
        <v>100</v>
      </c>
      <c r="F59">
        <v>105</v>
      </c>
      <c r="G59">
        <v>1</v>
      </c>
      <c r="H59">
        <v>45940.567299247683</v>
      </c>
      <c r="I59" t="s">
        <v>277</v>
      </c>
      <c r="J59" t="s">
        <v>53</v>
      </c>
      <c r="K59" t="s">
        <v>53</v>
      </c>
      <c r="L59" t="s">
        <v>53</v>
      </c>
      <c r="M59" t="s">
        <v>53</v>
      </c>
      <c r="N59">
        <v>43.1479</v>
      </c>
      <c r="O59">
        <v>12.1097</v>
      </c>
      <c r="P59" t="s">
        <v>54</v>
      </c>
      <c r="Q59" t="s">
        <v>55</v>
      </c>
      <c r="R59" t="s">
        <v>274</v>
      </c>
      <c r="S59" t="s">
        <v>57</v>
      </c>
      <c r="T59">
        <v>16</v>
      </c>
      <c r="U59">
        <v>22</v>
      </c>
      <c r="V59">
        <v>43</v>
      </c>
      <c r="W59">
        <v>33</v>
      </c>
      <c r="X59">
        <v>7</v>
      </c>
      <c r="Y59" t="s">
        <v>275</v>
      </c>
      <c r="Z59" t="s">
        <v>278</v>
      </c>
    </row>
    <row r="60" spans="1:26" hidden="1" x14ac:dyDescent="0.3"/>
  </sheetData>
  <autoFilter ref="S1:S60" xr:uid="{2D394BDA-685B-4615-AAAF-E7D3BA0AF448}">
    <filterColumn colId="0">
      <filters>
        <filter val="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BCC01-E48F-4842-B5E3-C5A41722EAB9}">
  <sheetPr filterMode="1"/>
  <dimension ref="A1:AI981"/>
  <sheetViews>
    <sheetView zoomScale="54" workbookViewId="0">
      <selection activeCell="B6" sqref="B6"/>
    </sheetView>
  </sheetViews>
  <sheetFormatPr defaultColWidth="14.44140625" defaultRowHeight="15" customHeight="1" x14ac:dyDescent="0.3"/>
  <cols>
    <col min="1" max="1" width="8.6640625" customWidth="1"/>
    <col min="2" max="2" width="13.44140625" customWidth="1"/>
    <col min="3" max="3" width="80.88671875" customWidth="1"/>
    <col min="4" max="4" width="101.6640625" customWidth="1"/>
    <col min="5" max="5" width="81.6640625" customWidth="1"/>
    <col min="6" max="6" width="81.5546875" customWidth="1"/>
    <col min="7" max="7" width="9.109375" customWidth="1"/>
    <col min="8" max="8" width="33.5546875" customWidth="1"/>
    <col min="9" max="9" width="72.33203125" customWidth="1"/>
    <col min="10" max="11" width="9" customWidth="1"/>
  </cols>
  <sheetData>
    <row r="1" spans="1:11" ht="14.25" customHeight="1" x14ac:dyDescent="0.3">
      <c r="A1" s="1" t="s">
        <v>40</v>
      </c>
      <c r="B1" s="1" t="s">
        <v>41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47</v>
      </c>
      <c r="I1" s="1" t="s">
        <v>48</v>
      </c>
      <c r="J1" s="1"/>
      <c r="K1" s="1"/>
    </row>
    <row r="2" spans="1:11" ht="14.25" customHeight="1" x14ac:dyDescent="0.3">
      <c r="A2" s="4" t="s">
        <v>56</v>
      </c>
      <c r="B2" s="4" t="s">
        <v>57</v>
      </c>
      <c r="C2" s="3">
        <v>35</v>
      </c>
      <c r="D2" s="3">
        <v>72</v>
      </c>
      <c r="E2" s="3">
        <v>58</v>
      </c>
      <c r="F2" s="3">
        <v>74</v>
      </c>
      <c r="G2" s="3">
        <v>62</v>
      </c>
      <c r="H2" s="4" t="s">
        <v>58</v>
      </c>
      <c r="I2" s="4" t="s">
        <v>59</v>
      </c>
      <c r="J2" s="3"/>
      <c r="K2" s="3"/>
    </row>
    <row r="3" spans="1:11" ht="14.25" hidden="1" customHeight="1" x14ac:dyDescent="0.3">
      <c r="A3" s="7" t="s">
        <v>56</v>
      </c>
      <c r="B3" s="7" t="s">
        <v>61</v>
      </c>
      <c r="C3" s="6">
        <v>31</v>
      </c>
      <c r="D3" s="6">
        <v>76</v>
      </c>
      <c r="E3" s="6">
        <v>56</v>
      </c>
      <c r="F3" s="6">
        <v>73</v>
      </c>
      <c r="G3" s="6">
        <v>65</v>
      </c>
      <c r="H3" s="7" t="s">
        <v>62</v>
      </c>
      <c r="I3" s="7" t="s">
        <v>63</v>
      </c>
      <c r="J3" s="8" t="str">
        <f t="shared" ref="J3:J34" si="0">IF(B3="S",D3,"")</f>
        <v/>
      </c>
      <c r="K3" s="8">
        <f t="shared" ref="K3:K34" si="1">IF(B3="O",D3,"")</f>
        <v>76</v>
      </c>
    </row>
    <row r="4" spans="1:11" ht="14.25" customHeight="1" x14ac:dyDescent="0.3">
      <c r="A4" s="4" t="s">
        <v>65</v>
      </c>
      <c r="B4" s="4" t="s">
        <v>57</v>
      </c>
      <c r="C4" s="3">
        <v>10</v>
      </c>
      <c r="D4" s="3">
        <v>46</v>
      </c>
      <c r="E4" s="3">
        <v>78</v>
      </c>
      <c r="F4" s="3">
        <v>68</v>
      </c>
      <c r="G4" s="3">
        <v>12</v>
      </c>
      <c r="H4" s="4" t="s">
        <v>66</v>
      </c>
      <c r="I4" s="4" t="s">
        <v>67</v>
      </c>
      <c r="J4" s="3"/>
      <c r="K4" s="3"/>
    </row>
    <row r="5" spans="1:11" ht="14.25" hidden="1" customHeight="1" x14ac:dyDescent="0.3">
      <c r="A5" s="7" t="s">
        <v>65</v>
      </c>
      <c r="B5" s="7" t="s">
        <v>61</v>
      </c>
      <c r="C5" s="6">
        <v>39</v>
      </c>
      <c r="D5" s="6">
        <v>14</v>
      </c>
      <c r="E5" s="6">
        <v>60</v>
      </c>
      <c r="F5" s="6">
        <v>25</v>
      </c>
      <c r="G5" s="6">
        <v>5</v>
      </c>
      <c r="H5" s="7" t="s">
        <v>69</v>
      </c>
      <c r="I5" s="7" t="s">
        <v>70</v>
      </c>
      <c r="J5" s="8" t="str">
        <f t="shared" si="0"/>
        <v/>
      </c>
      <c r="K5" s="8">
        <f t="shared" si="1"/>
        <v>14</v>
      </c>
    </row>
    <row r="6" spans="1:11" ht="14.25" customHeight="1" x14ac:dyDescent="0.3">
      <c r="A6" s="4" t="s">
        <v>72</v>
      </c>
      <c r="B6" s="4" t="s">
        <v>57</v>
      </c>
      <c r="C6" s="3">
        <v>10</v>
      </c>
      <c r="D6" s="3">
        <v>8</v>
      </c>
      <c r="E6" s="3">
        <v>3</v>
      </c>
      <c r="F6" s="3">
        <v>25</v>
      </c>
      <c r="G6" s="3">
        <v>16</v>
      </c>
      <c r="H6" s="4" t="s">
        <v>73</v>
      </c>
      <c r="I6" s="4" t="s">
        <v>74</v>
      </c>
      <c r="J6" s="3"/>
      <c r="K6" s="3"/>
    </row>
    <row r="7" spans="1:11" ht="14.25" hidden="1" customHeight="1" x14ac:dyDescent="0.3">
      <c r="A7" s="7" t="s">
        <v>76</v>
      </c>
      <c r="B7" s="7" t="s">
        <v>61</v>
      </c>
      <c r="C7" s="6">
        <v>34</v>
      </c>
      <c r="D7" s="6">
        <v>21</v>
      </c>
      <c r="E7" s="6">
        <v>21</v>
      </c>
      <c r="F7" s="6">
        <v>40</v>
      </c>
      <c r="G7" s="6">
        <v>18</v>
      </c>
      <c r="H7" s="7" t="s">
        <v>77</v>
      </c>
      <c r="I7" s="7" t="s">
        <v>78</v>
      </c>
      <c r="J7" s="8" t="str">
        <f t="shared" si="0"/>
        <v/>
      </c>
      <c r="K7" s="8">
        <f t="shared" si="1"/>
        <v>21</v>
      </c>
    </row>
    <row r="8" spans="1:11" ht="14.25" hidden="1" customHeight="1" x14ac:dyDescent="0.3">
      <c r="A8" s="7" t="s">
        <v>80</v>
      </c>
      <c r="B8" s="7" t="s">
        <v>61</v>
      </c>
      <c r="C8" s="6">
        <v>44</v>
      </c>
      <c r="D8" s="6">
        <v>64</v>
      </c>
      <c r="E8" s="6">
        <v>50</v>
      </c>
      <c r="F8" s="6">
        <v>24</v>
      </c>
      <c r="G8" s="6">
        <v>35</v>
      </c>
      <c r="H8" s="7" t="s">
        <v>81</v>
      </c>
      <c r="I8" s="7" t="s">
        <v>82</v>
      </c>
      <c r="J8" s="8" t="str">
        <f t="shared" si="0"/>
        <v/>
      </c>
      <c r="K8" s="8">
        <f t="shared" si="1"/>
        <v>64</v>
      </c>
    </row>
    <row r="9" spans="1:11" ht="14.25" customHeight="1" x14ac:dyDescent="0.3">
      <c r="A9" s="4" t="s">
        <v>80</v>
      </c>
      <c r="B9" s="4" t="s">
        <v>57</v>
      </c>
      <c r="C9" s="3">
        <v>16</v>
      </c>
      <c r="D9" s="3">
        <v>53</v>
      </c>
      <c r="E9" s="3">
        <v>67</v>
      </c>
      <c r="F9" s="3">
        <v>58</v>
      </c>
      <c r="G9" s="3">
        <v>22</v>
      </c>
      <c r="H9" s="4" t="s">
        <v>84</v>
      </c>
      <c r="I9" s="4" t="s">
        <v>85</v>
      </c>
      <c r="J9" s="3"/>
      <c r="K9" s="3"/>
    </row>
    <row r="10" spans="1:11" ht="14.25" customHeight="1" x14ac:dyDescent="0.3">
      <c r="A10" s="4" t="s">
        <v>87</v>
      </c>
      <c r="B10" s="4" t="s">
        <v>57</v>
      </c>
      <c r="C10" s="3">
        <v>15</v>
      </c>
      <c r="D10" s="3">
        <v>0</v>
      </c>
      <c r="E10" s="3">
        <v>9</v>
      </c>
      <c r="F10" s="3">
        <v>0</v>
      </c>
      <c r="G10" s="3">
        <v>0</v>
      </c>
      <c r="H10" s="4" t="s">
        <v>88</v>
      </c>
      <c r="I10" s="4" t="s">
        <v>89</v>
      </c>
      <c r="J10" s="3"/>
      <c r="K10" s="3"/>
    </row>
    <row r="11" spans="1:11" ht="14.25" hidden="1" customHeight="1" x14ac:dyDescent="0.3">
      <c r="A11" s="7" t="s">
        <v>87</v>
      </c>
      <c r="B11" s="7" t="s">
        <v>61</v>
      </c>
      <c r="C11" s="6">
        <v>1</v>
      </c>
      <c r="D11" s="6">
        <v>0</v>
      </c>
      <c r="E11" s="6">
        <v>3</v>
      </c>
      <c r="F11" s="6">
        <v>0</v>
      </c>
      <c r="G11" s="6">
        <v>0</v>
      </c>
      <c r="H11" s="7" t="s">
        <v>91</v>
      </c>
      <c r="I11" s="7" t="s">
        <v>92</v>
      </c>
      <c r="J11" s="8" t="str">
        <f t="shared" si="0"/>
        <v/>
      </c>
      <c r="K11" s="8">
        <f t="shared" si="1"/>
        <v>0</v>
      </c>
    </row>
    <row r="12" spans="1:11" ht="14.25" hidden="1" customHeight="1" x14ac:dyDescent="0.3">
      <c r="A12" s="7" t="s">
        <v>94</v>
      </c>
      <c r="B12" s="7" t="s">
        <v>61</v>
      </c>
      <c r="C12" s="6">
        <v>9</v>
      </c>
      <c r="D12" s="6">
        <v>9</v>
      </c>
      <c r="E12" s="6">
        <v>8</v>
      </c>
      <c r="F12" s="6">
        <v>21</v>
      </c>
      <c r="G12" s="6">
        <v>4</v>
      </c>
      <c r="H12" s="7" t="s">
        <v>95</v>
      </c>
      <c r="I12" s="7" t="s">
        <v>96</v>
      </c>
      <c r="J12" s="8" t="str">
        <f t="shared" si="0"/>
        <v/>
      </c>
      <c r="K12" s="8">
        <f t="shared" si="1"/>
        <v>9</v>
      </c>
    </row>
    <row r="13" spans="1:11" ht="14.25" customHeight="1" x14ac:dyDescent="0.3">
      <c r="A13" s="4" t="s">
        <v>94</v>
      </c>
      <c r="B13" s="4" t="s">
        <v>57</v>
      </c>
      <c r="C13" s="3">
        <v>21</v>
      </c>
      <c r="D13" s="3">
        <v>31</v>
      </c>
      <c r="E13" s="3">
        <v>29</v>
      </c>
      <c r="F13" s="3">
        <v>32</v>
      </c>
      <c r="G13" s="3">
        <v>24</v>
      </c>
      <c r="H13" s="4" t="s">
        <v>98</v>
      </c>
      <c r="I13" s="4" t="s">
        <v>99</v>
      </c>
      <c r="J13" s="3"/>
      <c r="K13" s="3"/>
    </row>
    <row r="14" spans="1:11" ht="14.25" hidden="1" customHeight="1" x14ac:dyDescent="0.3">
      <c r="A14" s="7" t="s">
        <v>101</v>
      </c>
      <c r="B14" s="7" t="s">
        <v>61</v>
      </c>
      <c r="C14" s="6">
        <v>39</v>
      </c>
      <c r="D14" s="6">
        <v>3</v>
      </c>
      <c r="E14" s="6">
        <v>50</v>
      </c>
      <c r="F14" s="6">
        <v>1</v>
      </c>
      <c r="G14" s="6">
        <v>1</v>
      </c>
      <c r="H14" s="7" t="s">
        <v>102</v>
      </c>
      <c r="I14" s="7" t="s">
        <v>103</v>
      </c>
      <c r="J14" s="8" t="str">
        <f t="shared" si="0"/>
        <v/>
      </c>
      <c r="K14" s="8">
        <f t="shared" si="1"/>
        <v>3</v>
      </c>
    </row>
    <row r="15" spans="1:11" ht="14.25" customHeight="1" x14ac:dyDescent="0.3">
      <c r="A15" s="4" t="s">
        <v>101</v>
      </c>
      <c r="B15" s="4" t="s">
        <v>57</v>
      </c>
      <c r="C15" s="3">
        <v>5</v>
      </c>
      <c r="D15" s="3">
        <v>1</v>
      </c>
      <c r="E15" s="3">
        <v>69</v>
      </c>
      <c r="F15" s="3">
        <v>3</v>
      </c>
      <c r="G15" s="3">
        <v>2</v>
      </c>
      <c r="H15" s="4" t="s">
        <v>105</v>
      </c>
      <c r="I15" s="4" t="s">
        <v>106</v>
      </c>
      <c r="J15" s="3"/>
      <c r="K15" s="3"/>
    </row>
    <row r="16" spans="1:11" ht="14.25" customHeight="1" x14ac:dyDescent="0.3">
      <c r="A16" s="4" t="s">
        <v>108</v>
      </c>
      <c r="B16" s="4" t="s">
        <v>57</v>
      </c>
      <c r="C16" s="3">
        <v>51</v>
      </c>
      <c r="D16" s="3">
        <v>8</v>
      </c>
      <c r="E16" s="3">
        <v>34</v>
      </c>
      <c r="F16" s="3">
        <v>6</v>
      </c>
      <c r="G16" s="3">
        <v>2</v>
      </c>
      <c r="H16" s="4" t="s">
        <v>109</v>
      </c>
      <c r="I16" s="4" t="s">
        <v>110</v>
      </c>
      <c r="J16" s="3"/>
      <c r="K16" s="3"/>
    </row>
    <row r="17" spans="1:11" ht="14.25" hidden="1" customHeight="1" x14ac:dyDescent="0.3">
      <c r="A17" s="7" t="s">
        <v>108</v>
      </c>
      <c r="B17" s="7" t="s">
        <v>61</v>
      </c>
      <c r="C17" s="6">
        <v>31</v>
      </c>
      <c r="D17" s="6">
        <v>13</v>
      </c>
      <c r="E17" s="6">
        <v>66</v>
      </c>
      <c r="F17" s="6">
        <v>5</v>
      </c>
      <c r="G17" s="6">
        <v>2</v>
      </c>
      <c r="H17" s="7" t="s">
        <v>112</v>
      </c>
      <c r="I17" s="7" t="s">
        <v>113</v>
      </c>
      <c r="J17" s="8" t="str">
        <f t="shared" si="0"/>
        <v/>
      </c>
      <c r="K17" s="8">
        <f t="shared" si="1"/>
        <v>13</v>
      </c>
    </row>
    <row r="18" spans="1:11" ht="14.25" hidden="1" customHeight="1" x14ac:dyDescent="0.3">
      <c r="A18" s="7" t="s">
        <v>115</v>
      </c>
      <c r="B18" s="7" t="s">
        <v>61</v>
      </c>
      <c r="C18" s="6">
        <v>77</v>
      </c>
      <c r="D18" s="6">
        <v>4</v>
      </c>
      <c r="E18" s="6">
        <v>19</v>
      </c>
      <c r="F18" s="6">
        <v>9</v>
      </c>
      <c r="G18" s="6">
        <v>2</v>
      </c>
      <c r="H18" s="7" t="s">
        <v>116</v>
      </c>
      <c r="I18" s="7" t="s">
        <v>117</v>
      </c>
      <c r="J18" s="8" t="str">
        <f t="shared" si="0"/>
        <v/>
      </c>
      <c r="K18" s="8">
        <f t="shared" si="1"/>
        <v>4</v>
      </c>
    </row>
    <row r="19" spans="1:11" ht="14.25" customHeight="1" x14ac:dyDescent="0.3">
      <c r="A19" s="4" t="s">
        <v>115</v>
      </c>
      <c r="B19" s="4" t="s">
        <v>57</v>
      </c>
      <c r="C19" s="3">
        <v>1</v>
      </c>
      <c r="D19" s="3">
        <v>8</v>
      </c>
      <c r="E19" s="3">
        <v>83</v>
      </c>
      <c r="F19" s="3">
        <v>16</v>
      </c>
      <c r="G19" s="3">
        <v>1</v>
      </c>
      <c r="H19" s="4" t="s">
        <v>119</v>
      </c>
      <c r="I19" s="4" t="s">
        <v>120</v>
      </c>
      <c r="J19" s="3"/>
      <c r="K19" s="3"/>
    </row>
    <row r="20" spans="1:11" ht="14.25" customHeight="1" x14ac:dyDescent="0.3">
      <c r="A20" s="4" t="s">
        <v>122</v>
      </c>
      <c r="B20" s="4" t="s">
        <v>57</v>
      </c>
      <c r="C20" s="3">
        <v>36</v>
      </c>
      <c r="D20" s="3">
        <v>0</v>
      </c>
      <c r="E20" s="3">
        <v>14</v>
      </c>
      <c r="F20" s="3">
        <v>0</v>
      </c>
      <c r="G20" s="3">
        <v>0</v>
      </c>
      <c r="H20" s="4" t="s">
        <v>116</v>
      </c>
      <c r="I20" s="4" t="s">
        <v>123</v>
      </c>
      <c r="J20" s="3"/>
      <c r="K20" s="3"/>
    </row>
    <row r="21" spans="1:11" ht="14.25" hidden="1" customHeight="1" x14ac:dyDescent="0.3">
      <c r="A21" s="7" t="s">
        <v>122</v>
      </c>
      <c r="B21" s="7" t="s">
        <v>61</v>
      </c>
      <c r="C21" s="6">
        <v>61</v>
      </c>
      <c r="D21" s="6">
        <v>0</v>
      </c>
      <c r="E21" s="6">
        <v>33</v>
      </c>
      <c r="F21" s="6">
        <v>0</v>
      </c>
      <c r="G21" s="6">
        <v>0</v>
      </c>
      <c r="H21" s="7" t="s">
        <v>125</v>
      </c>
      <c r="I21" s="7" t="s">
        <v>126</v>
      </c>
      <c r="J21" s="8" t="str">
        <f t="shared" si="0"/>
        <v/>
      </c>
      <c r="K21" s="8">
        <f t="shared" si="1"/>
        <v>0</v>
      </c>
    </row>
    <row r="22" spans="1:11" ht="14.25" customHeight="1" x14ac:dyDescent="0.3">
      <c r="A22" s="9" t="s">
        <v>128</v>
      </c>
      <c r="B22" s="4" t="s">
        <v>57</v>
      </c>
      <c r="C22" s="3">
        <v>94</v>
      </c>
      <c r="D22" s="3">
        <v>94</v>
      </c>
      <c r="E22" s="3">
        <v>100</v>
      </c>
      <c r="F22" s="3">
        <v>6</v>
      </c>
      <c r="G22" s="3">
        <v>1</v>
      </c>
      <c r="H22" s="4" t="s">
        <v>129</v>
      </c>
      <c r="I22" s="4" t="s">
        <v>130</v>
      </c>
      <c r="J22" s="3"/>
      <c r="K22" s="3"/>
    </row>
    <row r="23" spans="1:11" ht="14.25" hidden="1" customHeight="1" x14ac:dyDescent="0.3">
      <c r="A23" s="7" t="s">
        <v>132</v>
      </c>
      <c r="B23" s="7" t="s">
        <v>61</v>
      </c>
      <c r="C23" s="8">
        <v>0</v>
      </c>
      <c r="D23" s="8">
        <v>0</v>
      </c>
      <c r="E23" s="8">
        <v>27</v>
      </c>
      <c r="F23" s="8">
        <v>0</v>
      </c>
      <c r="G23" s="8">
        <v>0</v>
      </c>
      <c r="H23" s="7" t="s">
        <v>133</v>
      </c>
      <c r="I23" s="7" t="s">
        <v>134</v>
      </c>
      <c r="J23" s="8" t="str">
        <f t="shared" si="0"/>
        <v/>
      </c>
      <c r="K23" s="8">
        <f t="shared" si="1"/>
        <v>0</v>
      </c>
    </row>
    <row r="24" spans="1:11" ht="14.25" hidden="1" customHeight="1" x14ac:dyDescent="0.3">
      <c r="A24" s="9" t="s">
        <v>136</v>
      </c>
      <c r="B24" s="7" t="s">
        <v>61</v>
      </c>
      <c r="C24" s="6">
        <v>100</v>
      </c>
      <c r="D24" s="6">
        <v>97</v>
      </c>
      <c r="E24" s="6">
        <v>100</v>
      </c>
      <c r="F24" s="6">
        <v>50</v>
      </c>
      <c r="G24" s="6">
        <v>0</v>
      </c>
      <c r="H24" s="7" t="s">
        <v>91</v>
      </c>
      <c r="I24" s="7" t="s">
        <v>137</v>
      </c>
      <c r="J24" s="8" t="str">
        <f t="shared" si="0"/>
        <v/>
      </c>
      <c r="K24" s="8">
        <f t="shared" si="1"/>
        <v>97</v>
      </c>
    </row>
    <row r="25" spans="1:11" ht="14.25" customHeight="1" x14ac:dyDescent="0.3">
      <c r="A25" s="4" t="s">
        <v>139</v>
      </c>
      <c r="B25" s="4" t="s">
        <v>57</v>
      </c>
      <c r="C25" s="3">
        <v>2</v>
      </c>
      <c r="D25" s="3">
        <v>0</v>
      </c>
      <c r="E25" s="3">
        <v>32</v>
      </c>
      <c r="F25" s="3">
        <v>0</v>
      </c>
      <c r="G25" s="3">
        <v>0</v>
      </c>
      <c r="H25" s="4" t="s">
        <v>140</v>
      </c>
      <c r="I25" s="4" t="s">
        <v>141</v>
      </c>
      <c r="J25" s="3"/>
      <c r="K25" s="3"/>
    </row>
    <row r="26" spans="1:11" ht="14.25" hidden="1" customHeight="1" x14ac:dyDescent="0.3">
      <c r="A26" s="7" t="s">
        <v>143</v>
      </c>
      <c r="B26" s="7" t="s">
        <v>61</v>
      </c>
      <c r="C26" s="6">
        <v>35</v>
      </c>
      <c r="D26" s="6">
        <v>9</v>
      </c>
      <c r="E26" s="6">
        <v>4</v>
      </c>
      <c r="F26" s="6">
        <v>8</v>
      </c>
      <c r="G26" s="6">
        <v>15</v>
      </c>
      <c r="H26" s="7" t="s">
        <v>125</v>
      </c>
      <c r="I26" s="7" t="s">
        <v>103</v>
      </c>
      <c r="J26" s="8" t="str">
        <f t="shared" si="0"/>
        <v/>
      </c>
      <c r="K26" s="8">
        <f t="shared" si="1"/>
        <v>9</v>
      </c>
    </row>
    <row r="27" spans="1:11" ht="14.25" customHeight="1" x14ac:dyDescent="0.3">
      <c r="A27" s="4" t="s">
        <v>143</v>
      </c>
      <c r="B27" s="4" t="s">
        <v>57</v>
      </c>
      <c r="C27" s="3">
        <v>12</v>
      </c>
      <c r="D27" s="3">
        <v>4</v>
      </c>
      <c r="E27" s="3">
        <v>24</v>
      </c>
      <c r="F27" s="3">
        <v>5</v>
      </c>
      <c r="G27" s="3">
        <v>5</v>
      </c>
      <c r="H27" s="4" t="s">
        <v>145</v>
      </c>
      <c r="I27" s="4" t="s">
        <v>103</v>
      </c>
      <c r="J27" s="3"/>
      <c r="K27" s="3"/>
    </row>
    <row r="28" spans="1:11" ht="14.25" customHeight="1" x14ac:dyDescent="0.3">
      <c r="A28" s="4" t="s">
        <v>147</v>
      </c>
      <c r="B28" s="4" t="s">
        <v>57</v>
      </c>
      <c r="C28" s="3">
        <v>6</v>
      </c>
      <c r="D28" s="3">
        <v>13</v>
      </c>
      <c r="E28" s="3">
        <v>26</v>
      </c>
      <c r="F28" s="3">
        <v>15</v>
      </c>
      <c r="G28" s="3">
        <v>6</v>
      </c>
      <c r="H28" s="4" t="s">
        <v>148</v>
      </c>
      <c r="I28" s="4" t="s">
        <v>103</v>
      </c>
      <c r="J28" s="3"/>
      <c r="K28" s="3"/>
    </row>
    <row r="29" spans="1:11" ht="14.25" hidden="1" customHeight="1" x14ac:dyDescent="0.3">
      <c r="A29" s="7" t="s">
        <v>147</v>
      </c>
      <c r="B29" s="7" t="s">
        <v>61</v>
      </c>
      <c r="C29" s="8">
        <v>49</v>
      </c>
      <c r="D29" s="8">
        <v>13</v>
      </c>
      <c r="E29" s="8">
        <v>49</v>
      </c>
      <c r="F29" s="8">
        <v>14</v>
      </c>
      <c r="G29" s="8">
        <v>5</v>
      </c>
      <c r="H29" s="7" t="s">
        <v>150</v>
      </c>
      <c r="I29" s="7" t="s">
        <v>151</v>
      </c>
      <c r="J29" s="8" t="str">
        <f t="shared" si="0"/>
        <v/>
      </c>
      <c r="K29" s="8">
        <f t="shared" si="1"/>
        <v>13</v>
      </c>
    </row>
    <row r="30" spans="1:11" ht="14.25" hidden="1" customHeight="1" x14ac:dyDescent="0.3">
      <c r="A30" s="7" t="s">
        <v>153</v>
      </c>
      <c r="B30" s="7" t="s">
        <v>61</v>
      </c>
      <c r="C30" s="8">
        <v>49</v>
      </c>
      <c r="D30" s="8">
        <v>23</v>
      </c>
      <c r="E30" s="8">
        <v>42</v>
      </c>
      <c r="F30" s="8">
        <v>29</v>
      </c>
      <c r="G30" s="8">
        <v>9</v>
      </c>
      <c r="H30" s="7" t="s">
        <v>154</v>
      </c>
      <c r="I30" s="7" t="s">
        <v>155</v>
      </c>
      <c r="J30" s="8" t="str">
        <f t="shared" si="0"/>
        <v/>
      </c>
      <c r="K30" s="8">
        <f t="shared" si="1"/>
        <v>23</v>
      </c>
    </row>
    <row r="31" spans="1:11" ht="14.25" customHeight="1" x14ac:dyDescent="0.3">
      <c r="A31" s="4" t="s">
        <v>153</v>
      </c>
      <c r="B31" s="4" t="s">
        <v>57</v>
      </c>
      <c r="C31" s="3">
        <v>0</v>
      </c>
      <c r="D31" s="3">
        <v>9</v>
      </c>
      <c r="E31" s="3">
        <v>61</v>
      </c>
      <c r="F31" s="3">
        <v>8</v>
      </c>
      <c r="G31" s="3">
        <v>0</v>
      </c>
      <c r="H31" s="4" t="s">
        <v>157</v>
      </c>
      <c r="I31" s="4" t="s">
        <v>158</v>
      </c>
      <c r="J31" s="3"/>
      <c r="K31" s="3"/>
    </row>
    <row r="32" spans="1:11" ht="14.25" customHeight="1" x14ac:dyDescent="0.3">
      <c r="A32" s="4" t="s">
        <v>160</v>
      </c>
      <c r="B32" s="4" t="s">
        <v>57</v>
      </c>
      <c r="C32" s="3">
        <v>36</v>
      </c>
      <c r="D32" s="3">
        <v>6</v>
      </c>
      <c r="E32" s="3">
        <v>7</v>
      </c>
      <c r="F32" s="3">
        <v>5</v>
      </c>
      <c r="G32" s="3">
        <v>0</v>
      </c>
      <c r="H32" s="4" t="s">
        <v>161</v>
      </c>
      <c r="I32" s="4" t="s">
        <v>162</v>
      </c>
      <c r="J32" s="3"/>
      <c r="K32" s="3"/>
    </row>
    <row r="33" spans="1:35" ht="14.25" hidden="1" customHeight="1" x14ac:dyDescent="0.3">
      <c r="A33" s="7" t="s">
        <v>160</v>
      </c>
      <c r="B33" s="7" t="s">
        <v>61</v>
      </c>
      <c r="C33" s="8">
        <v>58</v>
      </c>
      <c r="D33" s="8">
        <v>4</v>
      </c>
      <c r="E33" s="8">
        <v>9</v>
      </c>
      <c r="F33" s="8">
        <v>1</v>
      </c>
      <c r="G33" s="8">
        <v>1</v>
      </c>
      <c r="H33" s="7" t="s">
        <v>164</v>
      </c>
      <c r="I33" s="7" t="s">
        <v>165</v>
      </c>
      <c r="J33" s="8" t="str">
        <f t="shared" si="0"/>
        <v/>
      </c>
      <c r="K33" s="8">
        <f t="shared" si="1"/>
        <v>4</v>
      </c>
    </row>
    <row r="34" spans="1:35" ht="14.25" hidden="1" customHeight="1" x14ac:dyDescent="0.3">
      <c r="A34" s="7" t="s">
        <v>167</v>
      </c>
      <c r="B34" s="7" t="s">
        <v>61</v>
      </c>
      <c r="C34" s="8">
        <v>6</v>
      </c>
      <c r="D34" s="8">
        <v>8</v>
      </c>
      <c r="E34" s="8">
        <v>6</v>
      </c>
      <c r="F34" s="8">
        <v>8</v>
      </c>
      <c r="G34" s="8">
        <v>0</v>
      </c>
      <c r="H34" s="7" t="s">
        <v>168</v>
      </c>
      <c r="I34" s="7" t="s">
        <v>169</v>
      </c>
      <c r="J34" s="8" t="str">
        <f t="shared" si="0"/>
        <v/>
      </c>
      <c r="K34" s="8">
        <f t="shared" si="1"/>
        <v>8</v>
      </c>
    </row>
    <row r="35" spans="1:35" ht="14.25" customHeight="1" x14ac:dyDescent="0.3">
      <c r="A35" s="4" t="s">
        <v>167</v>
      </c>
      <c r="B35" s="4" t="s">
        <v>57</v>
      </c>
      <c r="C35" s="3">
        <v>26</v>
      </c>
      <c r="D35" s="3">
        <v>0</v>
      </c>
      <c r="E35" s="3">
        <v>16</v>
      </c>
      <c r="F35" s="3">
        <v>0</v>
      </c>
      <c r="G35" s="3">
        <v>0</v>
      </c>
      <c r="H35" s="4" t="s">
        <v>168</v>
      </c>
      <c r="I35" s="4" t="s">
        <v>171</v>
      </c>
      <c r="J35" s="3"/>
      <c r="K35" s="3"/>
    </row>
    <row r="36" spans="1:35" s="18" customFormat="1" ht="14.25" customHeight="1" x14ac:dyDescent="0.3">
      <c r="A36" s="17" t="s">
        <v>188</v>
      </c>
      <c r="B36" s="17" t="s">
        <v>57</v>
      </c>
      <c r="C36" s="16">
        <v>47</v>
      </c>
      <c r="D36" s="16">
        <v>14</v>
      </c>
      <c r="E36" s="16">
        <v>14</v>
      </c>
      <c r="F36" s="16">
        <v>19</v>
      </c>
      <c r="G36" s="16">
        <v>9</v>
      </c>
      <c r="H36" s="17" t="s">
        <v>189</v>
      </c>
      <c r="I36" s="17" t="s">
        <v>190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</row>
    <row r="37" spans="1:35" ht="14.25" hidden="1" customHeight="1" x14ac:dyDescent="0.3">
      <c r="A37" s="14" t="s">
        <v>188</v>
      </c>
      <c r="B37" s="14" t="s">
        <v>61</v>
      </c>
      <c r="C37" s="13">
        <v>1</v>
      </c>
      <c r="D37" s="13">
        <v>48</v>
      </c>
      <c r="E37" s="13">
        <v>78</v>
      </c>
      <c r="F37" s="13">
        <v>45</v>
      </c>
      <c r="G37" s="13">
        <v>30</v>
      </c>
      <c r="H37" s="14" t="s">
        <v>192</v>
      </c>
      <c r="I37" s="14" t="s">
        <v>193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</row>
    <row r="38" spans="1:35" ht="14.25" hidden="1" customHeight="1" x14ac:dyDescent="0.3">
      <c r="A38" s="14" t="s">
        <v>196</v>
      </c>
      <c r="B38" s="14" t="s">
        <v>61</v>
      </c>
      <c r="C38" s="13">
        <v>16</v>
      </c>
      <c r="D38" s="13">
        <v>7</v>
      </c>
      <c r="E38" s="13">
        <v>1</v>
      </c>
      <c r="F38" s="13">
        <v>2</v>
      </c>
      <c r="G38" s="13">
        <v>0</v>
      </c>
      <c r="H38" s="14" t="s">
        <v>197</v>
      </c>
      <c r="I38" s="14" t="s">
        <v>198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</row>
    <row r="39" spans="1:35" s="18" customFormat="1" ht="14.25" customHeight="1" x14ac:dyDescent="0.3">
      <c r="A39" s="17" t="s">
        <v>196</v>
      </c>
      <c r="B39" s="17" t="s">
        <v>57</v>
      </c>
      <c r="C39" s="16">
        <v>39</v>
      </c>
      <c r="D39" s="16">
        <v>10</v>
      </c>
      <c r="E39" s="16">
        <v>30</v>
      </c>
      <c r="F39" s="16">
        <v>17</v>
      </c>
      <c r="G39" s="16">
        <v>1</v>
      </c>
      <c r="H39" s="17" t="s">
        <v>200</v>
      </c>
      <c r="I39" s="17" t="s">
        <v>198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</row>
    <row r="40" spans="1:35" s="18" customFormat="1" ht="14.25" customHeight="1" x14ac:dyDescent="0.3">
      <c r="A40" s="17" t="s">
        <v>202</v>
      </c>
      <c r="B40" s="17" t="s">
        <v>57</v>
      </c>
      <c r="C40" s="16">
        <v>98</v>
      </c>
      <c r="D40" s="16">
        <v>13</v>
      </c>
      <c r="E40" s="16">
        <v>3</v>
      </c>
      <c r="F40" s="16">
        <v>0</v>
      </c>
      <c r="G40" s="16">
        <v>2</v>
      </c>
      <c r="H40" s="17" t="s">
        <v>203</v>
      </c>
      <c r="I40" s="17" t="s">
        <v>198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</row>
    <row r="41" spans="1:35" ht="14.25" hidden="1" customHeight="1" x14ac:dyDescent="0.3">
      <c r="A41" s="14" t="s">
        <v>202</v>
      </c>
      <c r="B41" s="14" t="s">
        <v>61</v>
      </c>
      <c r="C41" s="13">
        <v>2</v>
      </c>
      <c r="D41" s="13">
        <v>26</v>
      </c>
      <c r="E41" s="13">
        <v>48</v>
      </c>
      <c r="F41" s="13">
        <v>10</v>
      </c>
      <c r="G41" s="13">
        <v>13</v>
      </c>
      <c r="H41" s="14" t="s">
        <v>205</v>
      </c>
      <c r="I41" s="14" t="s">
        <v>206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</row>
    <row r="42" spans="1:35" ht="14.25" hidden="1" customHeight="1" x14ac:dyDescent="0.3">
      <c r="A42" s="14" t="s">
        <v>208</v>
      </c>
      <c r="B42" s="14" t="s">
        <v>61</v>
      </c>
      <c r="C42" s="13">
        <v>3</v>
      </c>
      <c r="D42" s="13">
        <v>9</v>
      </c>
      <c r="E42" s="13">
        <v>3</v>
      </c>
      <c r="F42" s="13">
        <v>5</v>
      </c>
      <c r="G42" s="13">
        <v>3</v>
      </c>
      <c r="H42" s="14" t="s">
        <v>209</v>
      </c>
      <c r="I42" s="14" t="s">
        <v>103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</row>
    <row r="43" spans="1:35" s="18" customFormat="1" ht="14.25" customHeight="1" x14ac:dyDescent="0.3">
      <c r="A43" s="17" t="s">
        <v>208</v>
      </c>
      <c r="B43" s="17" t="s">
        <v>57</v>
      </c>
      <c r="C43" s="16">
        <v>16</v>
      </c>
      <c r="D43" s="16">
        <v>7</v>
      </c>
      <c r="E43" s="16">
        <v>23</v>
      </c>
      <c r="F43" s="16">
        <v>10</v>
      </c>
      <c r="G43" s="16">
        <v>3</v>
      </c>
      <c r="H43" s="17" t="s">
        <v>211</v>
      </c>
      <c r="I43" s="17" t="s">
        <v>212</v>
      </c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</row>
    <row r="44" spans="1:35" s="18" customFormat="1" ht="14.25" customHeight="1" x14ac:dyDescent="0.3">
      <c r="A44" s="17" t="s">
        <v>214</v>
      </c>
      <c r="B44" s="17" t="s">
        <v>57</v>
      </c>
      <c r="C44" s="16">
        <v>34</v>
      </c>
      <c r="D44" s="16">
        <v>2</v>
      </c>
      <c r="E44" s="16">
        <v>27</v>
      </c>
      <c r="F44" s="16">
        <v>11</v>
      </c>
      <c r="G44" s="16">
        <v>5</v>
      </c>
      <c r="H44" s="17" t="s">
        <v>215</v>
      </c>
      <c r="I44" s="17" t="s">
        <v>103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</row>
    <row r="45" spans="1:35" ht="14.25" hidden="1" customHeight="1" x14ac:dyDescent="0.3">
      <c r="A45" s="14" t="s">
        <v>214</v>
      </c>
      <c r="B45" s="14" t="s">
        <v>61</v>
      </c>
      <c r="C45" s="13">
        <v>62</v>
      </c>
      <c r="D45" s="13">
        <v>11</v>
      </c>
      <c r="E45" s="13">
        <v>48</v>
      </c>
      <c r="F45" s="13">
        <v>24</v>
      </c>
      <c r="G45" s="13">
        <v>10</v>
      </c>
      <c r="H45" s="14" t="s">
        <v>215</v>
      </c>
      <c r="I45" s="14" t="s">
        <v>217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</row>
    <row r="46" spans="1:35" ht="14.25" hidden="1" customHeight="1" x14ac:dyDescent="0.3">
      <c r="A46" s="14" t="s">
        <v>220</v>
      </c>
      <c r="B46" s="14" t="s">
        <v>61</v>
      </c>
      <c r="C46" s="13">
        <v>9</v>
      </c>
      <c r="D46" s="13">
        <v>33</v>
      </c>
      <c r="E46" s="13">
        <v>5</v>
      </c>
      <c r="F46" s="13">
        <v>44</v>
      </c>
      <c r="G46" s="13">
        <v>18</v>
      </c>
      <c r="H46" s="14" t="s">
        <v>221</v>
      </c>
      <c r="I46" s="14" t="s">
        <v>222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</row>
    <row r="47" spans="1:35" s="18" customFormat="1" ht="14.25" customHeight="1" x14ac:dyDescent="0.3">
      <c r="A47" s="17" t="s">
        <v>220</v>
      </c>
      <c r="B47" s="17" t="s">
        <v>57</v>
      </c>
      <c r="C47" s="16">
        <v>15</v>
      </c>
      <c r="D47" s="16">
        <v>3</v>
      </c>
      <c r="E47" s="16">
        <v>1</v>
      </c>
      <c r="F47" s="16">
        <v>1</v>
      </c>
      <c r="G47" s="16">
        <v>1</v>
      </c>
      <c r="H47" s="17" t="s">
        <v>224</v>
      </c>
      <c r="I47" s="17" t="s">
        <v>225</v>
      </c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</row>
    <row r="48" spans="1:35" s="18" customFormat="1" ht="14.25" customHeight="1" x14ac:dyDescent="0.3">
      <c r="A48" s="17" t="s">
        <v>227</v>
      </c>
      <c r="B48" s="17" t="s">
        <v>57</v>
      </c>
      <c r="C48" s="16">
        <v>36</v>
      </c>
      <c r="D48" s="16">
        <v>2</v>
      </c>
      <c r="E48" s="16">
        <v>6</v>
      </c>
      <c r="F48" s="16">
        <v>0</v>
      </c>
      <c r="G48" s="16">
        <v>0</v>
      </c>
      <c r="H48" s="17" t="s">
        <v>228</v>
      </c>
      <c r="I48" s="17" t="s">
        <v>229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</row>
    <row r="49" spans="1:35" ht="14.25" hidden="1" customHeight="1" x14ac:dyDescent="0.3">
      <c r="A49" s="14" t="s">
        <v>227</v>
      </c>
      <c r="B49" s="14" t="s">
        <v>61</v>
      </c>
      <c r="C49" s="13">
        <v>29</v>
      </c>
      <c r="D49" s="13">
        <v>5</v>
      </c>
      <c r="E49" s="13">
        <v>23</v>
      </c>
      <c r="F49" s="13">
        <v>5</v>
      </c>
      <c r="G49" s="13">
        <v>5</v>
      </c>
      <c r="H49" s="14" t="s">
        <v>125</v>
      </c>
      <c r="I49" s="14" t="s">
        <v>231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1:35" ht="14.25" hidden="1" customHeight="1" x14ac:dyDescent="0.3">
      <c r="A50" s="22" t="s">
        <v>248</v>
      </c>
      <c r="B50" s="22" t="s">
        <v>61</v>
      </c>
      <c r="C50" s="20">
        <v>9</v>
      </c>
      <c r="D50" s="20">
        <v>6</v>
      </c>
      <c r="E50" s="20">
        <v>13</v>
      </c>
      <c r="F50" s="20">
        <v>2</v>
      </c>
      <c r="G50" s="20">
        <v>2</v>
      </c>
      <c r="H50" s="22" t="s">
        <v>249</v>
      </c>
      <c r="I50" s="22" t="s">
        <v>250</v>
      </c>
    </row>
    <row r="51" spans="1:35" ht="14.25" hidden="1" customHeight="1" x14ac:dyDescent="0.3">
      <c r="A51" s="23" t="s">
        <v>269</v>
      </c>
      <c r="B51" s="23" t="s">
        <v>61</v>
      </c>
      <c r="C51" s="24">
        <v>21</v>
      </c>
      <c r="D51" s="24">
        <v>4</v>
      </c>
      <c r="E51" s="24">
        <v>31</v>
      </c>
      <c r="F51" s="24">
        <v>1</v>
      </c>
      <c r="G51" s="24">
        <v>1</v>
      </c>
      <c r="H51" s="23" t="s">
        <v>270</v>
      </c>
      <c r="I51" s="23" t="s">
        <v>103</v>
      </c>
    </row>
    <row r="52" spans="1:35" ht="14.25" hidden="1" customHeight="1" x14ac:dyDescent="0.3">
      <c r="A52" s="23" t="s">
        <v>248</v>
      </c>
      <c r="B52" s="23" t="s">
        <v>61</v>
      </c>
      <c r="C52" s="24">
        <v>9</v>
      </c>
      <c r="D52" s="24">
        <v>6</v>
      </c>
      <c r="E52" s="24">
        <v>13</v>
      </c>
      <c r="F52" s="24">
        <v>2</v>
      </c>
      <c r="G52" s="24">
        <v>2</v>
      </c>
      <c r="H52" s="23" t="s">
        <v>249</v>
      </c>
      <c r="I52" s="23" t="s">
        <v>250</v>
      </c>
    </row>
    <row r="53" spans="1:35" ht="14.25" hidden="1" customHeight="1" x14ac:dyDescent="0.3">
      <c r="A53" s="23" t="s">
        <v>255</v>
      </c>
      <c r="B53" s="23" t="s">
        <v>61</v>
      </c>
      <c r="C53" s="24">
        <v>6</v>
      </c>
      <c r="D53" s="24">
        <v>11</v>
      </c>
      <c r="E53" s="24">
        <v>4</v>
      </c>
      <c r="F53" s="24">
        <v>11</v>
      </c>
      <c r="G53" s="24">
        <v>21</v>
      </c>
      <c r="H53" s="23" t="s">
        <v>259</v>
      </c>
      <c r="I53" s="23" t="s">
        <v>260</v>
      </c>
    </row>
    <row r="54" spans="1:35" ht="14.25" hidden="1" customHeight="1" x14ac:dyDescent="0.3">
      <c r="A54" s="23" t="s">
        <v>262</v>
      </c>
      <c r="B54" s="23" t="s">
        <v>61</v>
      </c>
      <c r="C54" s="24">
        <v>11</v>
      </c>
      <c r="D54" s="24">
        <v>21</v>
      </c>
      <c r="E54" s="24">
        <v>8</v>
      </c>
      <c r="F54" s="24">
        <v>5</v>
      </c>
      <c r="G54" s="24">
        <v>7</v>
      </c>
      <c r="H54" s="23" t="s">
        <v>266</v>
      </c>
      <c r="I54" s="23" t="s">
        <v>267</v>
      </c>
    </row>
    <row r="55" spans="1:35" ht="14.25" hidden="1" customHeight="1" x14ac:dyDescent="0.3">
      <c r="A55" s="23" t="s">
        <v>269</v>
      </c>
      <c r="B55" s="23" t="s">
        <v>61</v>
      </c>
      <c r="C55" s="24">
        <v>21</v>
      </c>
      <c r="D55" s="24">
        <v>4</v>
      </c>
      <c r="E55" s="24">
        <v>31</v>
      </c>
      <c r="F55" s="24">
        <v>1</v>
      </c>
      <c r="G55" s="24">
        <v>1</v>
      </c>
      <c r="H55" s="23" t="s">
        <v>270</v>
      </c>
      <c r="I55" s="23" t="s">
        <v>103</v>
      </c>
    </row>
    <row r="56" spans="1:35" ht="14.25" hidden="1" customHeight="1" x14ac:dyDescent="0.3">
      <c r="A56" s="23" t="s">
        <v>274</v>
      </c>
      <c r="B56" s="23" t="s">
        <v>61</v>
      </c>
      <c r="C56" s="24">
        <v>20</v>
      </c>
      <c r="D56" s="24">
        <v>12</v>
      </c>
      <c r="E56" s="24">
        <v>34</v>
      </c>
      <c r="F56" s="24">
        <v>19</v>
      </c>
      <c r="G56" s="24">
        <v>3</v>
      </c>
      <c r="H56" s="23" t="s">
        <v>275</v>
      </c>
      <c r="I56" s="23" t="s">
        <v>276</v>
      </c>
    </row>
    <row r="57" spans="1:35" ht="14.25" hidden="1" customHeight="1" x14ac:dyDescent="0.3">
      <c r="A57" s="23" t="s">
        <v>248</v>
      </c>
      <c r="B57" s="23" t="s">
        <v>61</v>
      </c>
      <c r="C57" s="24">
        <v>9</v>
      </c>
      <c r="D57" s="24">
        <v>6</v>
      </c>
      <c r="E57" s="24">
        <v>13</v>
      </c>
      <c r="F57" s="24">
        <v>2</v>
      </c>
      <c r="G57" s="24">
        <v>2</v>
      </c>
    </row>
    <row r="58" spans="1:35" ht="14.25" customHeight="1" x14ac:dyDescent="0.3">
      <c r="A58" s="23" t="s">
        <v>248</v>
      </c>
      <c r="B58" s="23" t="s">
        <v>57</v>
      </c>
      <c r="C58" s="24">
        <v>22</v>
      </c>
      <c r="D58" s="24">
        <v>6</v>
      </c>
      <c r="E58" s="24">
        <v>32</v>
      </c>
      <c r="F58" s="24">
        <v>21</v>
      </c>
      <c r="G58" s="24">
        <v>3</v>
      </c>
    </row>
    <row r="59" spans="1:35" ht="14.25" customHeight="1" x14ac:dyDescent="0.3">
      <c r="A59" s="23" t="s">
        <v>255</v>
      </c>
      <c r="B59" s="23" t="s">
        <v>57</v>
      </c>
      <c r="C59" s="24">
        <v>15</v>
      </c>
      <c r="D59" s="24">
        <v>6</v>
      </c>
      <c r="E59" s="24">
        <v>19</v>
      </c>
      <c r="F59" s="24">
        <v>25</v>
      </c>
      <c r="G59" s="24">
        <v>7</v>
      </c>
    </row>
    <row r="60" spans="1:35" ht="14.25" hidden="1" customHeight="1" x14ac:dyDescent="0.3">
      <c r="A60" s="23" t="s">
        <v>255</v>
      </c>
      <c r="B60" s="23" t="s">
        <v>61</v>
      </c>
      <c r="C60" s="24">
        <v>6</v>
      </c>
      <c r="D60" s="24">
        <v>11</v>
      </c>
      <c r="E60" s="24">
        <v>4</v>
      </c>
      <c r="F60" s="24">
        <v>11</v>
      </c>
      <c r="G60" s="24">
        <v>21</v>
      </c>
    </row>
    <row r="61" spans="1:35" ht="14.25" customHeight="1" x14ac:dyDescent="0.3">
      <c r="A61" s="23" t="s">
        <v>262</v>
      </c>
      <c r="B61" s="23" t="s">
        <v>57</v>
      </c>
      <c r="C61" s="24">
        <v>30</v>
      </c>
      <c r="D61" s="24">
        <v>10</v>
      </c>
      <c r="E61" s="24">
        <v>21</v>
      </c>
      <c r="F61" s="24">
        <v>6</v>
      </c>
      <c r="G61" s="24">
        <v>10</v>
      </c>
    </row>
    <row r="62" spans="1:35" ht="14.25" hidden="1" customHeight="1" x14ac:dyDescent="0.3">
      <c r="A62" s="23" t="s">
        <v>262</v>
      </c>
      <c r="B62" s="23" t="s">
        <v>61</v>
      </c>
      <c r="C62" s="24">
        <v>11</v>
      </c>
      <c r="D62" s="24">
        <v>21</v>
      </c>
      <c r="E62" s="24">
        <v>8</v>
      </c>
      <c r="F62" s="24">
        <v>5</v>
      </c>
      <c r="G62" s="24">
        <v>7</v>
      </c>
    </row>
    <row r="63" spans="1:35" ht="14.25" customHeight="1" x14ac:dyDescent="0.3">
      <c r="A63" s="23" t="s">
        <v>269</v>
      </c>
      <c r="B63" s="23" t="s">
        <v>57</v>
      </c>
      <c r="C63" s="24">
        <v>25</v>
      </c>
      <c r="D63" s="24">
        <v>10</v>
      </c>
      <c r="E63" s="24">
        <v>22</v>
      </c>
      <c r="F63" s="24">
        <v>7</v>
      </c>
      <c r="G63" s="24">
        <v>3</v>
      </c>
    </row>
    <row r="64" spans="1:35" ht="14.25" hidden="1" customHeight="1" x14ac:dyDescent="0.3">
      <c r="A64" s="23" t="s">
        <v>269</v>
      </c>
      <c r="B64" s="23" t="s">
        <v>61</v>
      </c>
      <c r="C64" s="24">
        <v>21</v>
      </c>
      <c r="D64" s="24">
        <v>4</v>
      </c>
      <c r="E64" s="24">
        <v>31</v>
      </c>
      <c r="F64" s="24">
        <v>1</v>
      </c>
      <c r="G64" s="24">
        <v>1</v>
      </c>
    </row>
    <row r="65" spans="1:7" ht="14.25" hidden="1" customHeight="1" x14ac:dyDescent="0.3">
      <c r="A65" s="23" t="s">
        <v>274</v>
      </c>
      <c r="B65" s="23" t="s">
        <v>61</v>
      </c>
      <c r="C65" s="24">
        <v>20</v>
      </c>
      <c r="D65" s="24">
        <v>12</v>
      </c>
      <c r="E65" s="24">
        <v>34</v>
      </c>
      <c r="F65" s="24">
        <v>19</v>
      </c>
      <c r="G65" s="24">
        <v>3</v>
      </c>
    </row>
    <row r="66" spans="1:7" ht="14.25" customHeight="1" x14ac:dyDescent="0.3">
      <c r="A66" s="23" t="s">
        <v>274</v>
      </c>
      <c r="B66" s="23" t="s">
        <v>57</v>
      </c>
      <c r="C66" s="24">
        <v>16</v>
      </c>
      <c r="D66" s="24">
        <v>22</v>
      </c>
      <c r="E66" s="24">
        <v>43</v>
      </c>
      <c r="F66" s="24">
        <v>33</v>
      </c>
      <c r="G66" s="24">
        <v>7</v>
      </c>
    </row>
    <row r="76" spans="1:7" ht="14.25" customHeight="1" x14ac:dyDescent="0.3"/>
    <row r="77" spans="1:7" ht="14.25" customHeight="1" x14ac:dyDescent="0.3"/>
    <row r="78" spans="1:7" ht="14.25" customHeight="1" x14ac:dyDescent="0.3"/>
    <row r="79" spans="1:7" ht="14.25" customHeight="1" x14ac:dyDescent="0.3"/>
    <row r="80" spans="1:7" ht="14.25" customHeight="1" x14ac:dyDescent="0.3"/>
    <row r="81" spans="2:11" ht="14.25" customHeight="1" x14ac:dyDescent="0.3"/>
    <row r="82" spans="2:11" ht="14.25" customHeight="1" x14ac:dyDescent="0.3"/>
    <row r="83" spans="2:11" ht="14.25" customHeight="1" x14ac:dyDescent="0.3"/>
    <row r="84" spans="2:11" ht="14.25" customHeight="1" x14ac:dyDescent="0.3"/>
    <row r="85" spans="2:11" ht="14.25" customHeight="1" x14ac:dyDescent="0.3"/>
    <row r="86" spans="2:11" ht="14.25" customHeight="1" x14ac:dyDescent="0.3"/>
    <row r="87" spans="2:11" ht="14.25" customHeight="1" x14ac:dyDescent="0.3"/>
    <row r="88" spans="2:11" ht="14.25" customHeight="1" x14ac:dyDescent="0.3"/>
    <row r="89" spans="2:11" ht="14.25" customHeight="1" x14ac:dyDescent="0.3">
      <c r="C89" s="1" t="s">
        <v>172</v>
      </c>
      <c r="D89" s="1" t="s">
        <v>173</v>
      </c>
      <c r="E89" s="1" t="s">
        <v>174</v>
      </c>
      <c r="F89" s="1" t="s">
        <v>175</v>
      </c>
      <c r="G89" s="1" t="s">
        <v>176</v>
      </c>
    </row>
    <row r="90" spans="2:11" ht="14.25" customHeight="1" x14ac:dyDescent="0.3">
      <c r="B90" s="10"/>
      <c r="D90" s="10"/>
      <c r="E90" s="10"/>
      <c r="F90" s="10"/>
      <c r="G90" s="10"/>
    </row>
    <row r="91" spans="2:11" ht="14.25" customHeight="1" x14ac:dyDescent="0.3"/>
    <row r="92" spans="2:11" ht="14.25" customHeight="1" x14ac:dyDescent="0.3">
      <c r="B92" s="6" t="s">
        <v>177</v>
      </c>
      <c r="C92" s="11">
        <f>AVERAGE(C2,C4,C6,C9,C10,C13,C15,C16,C19,C20,C22,C25,C27,C28,C31,C32,C35)</f>
        <v>22.117647058823529</v>
      </c>
      <c r="D92" s="11">
        <f>AVERAGE(D2,D4,D6,D9,D10,D13,D15,D16,D19,D20,D22,D25,D27,D28,D31,D32,D35)</f>
        <v>20.764705882352942</v>
      </c>
      <c r="E92" s="11">
        <f>AVERAGE(E2,E4,E6,E9,E10,E13,E15,E16,E19,E20,E22,E23,E25,E27,E28,E31,E32,E35,)</f>
        <v>38.789473684210527</v>
      </c>
      <c r="F92" s="11">
        <f>AVERAGE(F2,F4,F6,F9,F10,F13,F15,F16,F19,F20,F22,F25,F27,F28,F31,F32,F35)</f>
        <v>18.882352941176471</v>
      </c>
      <c r="G92" s="11">
        <f>AVERAGE(G2,G4,G6,G9,G10,G13,G15,G16,G19,G20,G22,G25,G27,G28,G31,G32,G35)</f>
        <v>9</v>
      </c>
      <c r="K92" s="6"/>
    </row>
    <row r="93" spans="2:11" ht="14.25" customHeight="1" x14ac:dyDescent="0.3"/>
    <row r="94" spans="2:11" ht="14.25" customHeight="1" x14ac:dyDescent="0.3"/>
    <row r="95" spans="2:11" ht="14.25" customHeight="1" x14ac:dyDescent="0.3">
      <c r="B95" s="6" t="s">
        <v>178</v>
      </c>
      <c r="C95" s="6">
        <f>AVERAGE(C3,C5,C7,C8,C11,C12,C14,C17,C18,C21,C24,,C26,C29,C30,C33,C34,C23)</f>
        <v>36.833333333333336</v>
      </c>
      <c r="D95" s="6">
        <f>AVERAGE(D3,D5,D7,D8,D11,D12,D14,D17,D18,D21,D24,D26,D29,D30,D33,D34,D23)</f>
        <v>21.058823529411764</v>
      </c>
      <c r="E95" s="6">
        <f>AVERAGE(E3,E5,E7,E8,E11,E12,E14,E17,E18,E21,E24,E26,E29,E30,E33,E34,E23)</f>
        <v>35.470588235294116</v>
      </c>
      <c r="F95" s="6">
        <f>AVERAGE(F3,F5,F7,F8,F11,F12,F14,F17,F18,F21,F24,F26,F29,F30,F33,F34,F23)</f>
        <v>18.117647058823529</v>
      </c>
      <c r="G95" s="6">
        <f>AVERAGE(G3,G5,G7,G8,G11,G12,G14,G17,G18,G21,G24,G26,G29,G30,G33,G34,G23)</f>
        <v>9.5294117647058822</v>
      </c>
    </row>
    <row r="96" spans="2:11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</sheetData>
  <autoFilter ref="A1:I66" xr:uid="{00000000-0009-0000-0000-000000000000}">
    <filterColumn colId="1">
      <filters>
        <filter val="s"/>
      </filters>
    </filterColumn>
  </autoFilter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7F10A-B180-42F6-B705-5C226962CAC8}">
  <sheetPr filterMode="1"/>
  <dimension ref="A1:AI985"/>
  <sheetViews>
    <sheetView workbookViewId="0">
      <selection activeCell="C24" sqref="C24"/>
    </sheetView>
  </sheetViews>
  <sheetFormatPr defaultColWidth="14.44140625" defaultRowHeight="15" customHeight="1" x14ac:dyDescent="0.3"/>
  <cols>
    <col min="1" max="1" width="8.6640625" customWidth="1"/>
    <col min="2" max="2" width="13.44140625" customWidth="1"/>
    <col min="3" max="3" width="80.88671875" customWidth="1"/>
    <col min="4" max="4" width="101.6640625" customWidth="1"/>
    <col min="5" max="5" width="81.6640625" customWidth="1"/>
    <col min="6" max="6" width="81.5546875" customWidth="1"/>
    <col min="7" max="7" width="9.109375" customWidth="1"/>
    <col min="8" max="8" width="33.5546875" customWidth="1"/>
    <col min="9" max="9" width="72.33203125" customWidth="1"/>
    <col min="10" max="11" width="9" customWidth="1"/>
  </cols>
  <sheetData>
    <row r="1" spans="1:11" ht="14.25" customHeight="1" x14ac:dyDescent="0.3">
      <c r="A1" s="1" t="s">
        <v>40</v>
      </c>
      <c r="B1" s="1" t="s">
        <v>41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47</v>
      </c>
      <c r="I1" s="1" t="s">
        <v>48</v>
      </c>
      <c r="J1" s="1" t="s">
        <v>49</v>
      </c>
      <c r="K1" s="1" t="s">
        <v>50</v>
      </c>
    </row>
    <row r="2" spans="1:11" ht="14.25" hidden="1" customHeight="1" x14ac:dyDescent="0.3">
      <c r="A2" s="4" t="s">
        <v>56</v>
      </c>
      <c r="B2" s="4" t="s">
        <v>57</v>
      </c>
      <c r="C2" s="3">
        <v>35</v>
      </c>
      <c r="D2" s="3">
        <v>72</v>
      </c>
      <c r="E2" s="3">
        <v>58</v>
      </c>
      <c r="F2" s="3">
        <v>74</v>
      </c>
      <c r="G2" s="3">
        <v>62</v>
      </c>
      <c r="H2" s="4" t="s">
        <v>58</v>
      </c>
      <c r="I2" s="4" t="s">
        <v>59</v>
      </c>
      <c r="J2" s="3">
        <f t="shared" ref="J2:J35" si="0">IF(B2="S",D2,"")</f>
        <v>72</v>
      </c>
      <c r="K2" s="3" t="str">
        <f t="shared" ref="K2:K35" si="1">IF(B2="O",D2,"")</f>
        <v/>
      </c>
    </row>
    <row r="3" spans="1:11" ht="14.25" customHeight="1" x14ac:dyDescent="0.3">
      <c r="A3" s="7" t="s">
        <v>56</v>
      </c>
      <c r="B3" s="7" t="s">
        <v>61</v>
      </c>
      <c r="C3" s="6">
        <v>31</v>
      </c>
      <c r="D3" s="6">
        <v>76</v>
      </c>
      <c r="E3" s="6">
        <v>56</v>
      </c>
      <c r="F3" s="6">
        <v>73</v>
      </c>
      <c r="G3" s="6">
        <v>65</v>
      </c>
      <c r="H3" s="7" t="s">
        <v>62</v>
      </c>
      <c r="I3" s="7" t="s">
        <v>63</v>
      </c>
      <c r="J3" s="8" t="str">
        <f t="shared" si="0"/>
        <v/>
      </c>
      <c r="K3" s="8">
        <f t="shared" si="1"/>
        <v>76</v>
      </c>
    </row>
    <row r="4" spans="1:11" ht="14.25" hidden="1" customHeight="1" x14ac:dyDescent="0.3">
      <c r="A4" s="4" t="s">
        <v>65</v>
      </c>
      <c r="B4" s="4" t="s">
        <v>57</v>
      </c>
      <c r="C4" s="3">
        <v>10</v>
      </c>
      <c r="D4" s="3">
        <v>46</v>
      </c>
      <c r="E4" s="3">
        <v>78</v>
      </c>
      <c r="F4" s="3">
        <v>68</v>
      </c>
      <c r="G4" s="3">
        <v>12</v>
      </c>
      <c r="H4" s="4" t="s">
        <v>66</v>
      </c>
      <c r="I4" s="4" t="s">
        <v>67</v>
      </c>
      <c r="J4" s="3">
        <f t="shared" si="0"/>
        <v>46</v>
      </c>
      <c r="K4" s="3" t="str">
        <f t="shared" si="1"/>
        <v/>
      </c>
    </row>
    <row r="5" spans="1:11" ht="14.25" customHeight="1" x14ac:dyDescent="0.3">
      <c r="A5" s="7" t="s">
        <v>65</v>
      </c>
      <c r="B5" s="7" t="s">
        <v>61</v>
      </c>
      <c r="C5" s="6">
        <v>39</v>
      </c>
      <c r="D5" s="6">
        <v>14</v>
      </c>
      <c r="E5" s="6">
        <v>60</v>
      </c>
      <c r="F5" s="6">
        <v>25</v>
      </c>
      <c r="G5" s="6">
        <v>5</v>
      </c>
      <c r="H5" s="7" t="s">
        <v>69</v>
      </c>
      <c r="I5" s="7" t="s">
        <v>70</v>
      </c>
      <c r="J5" s="8" t="str">
        <f t="shared" si="0"/>
        <v/>
      </c>
      <c r="K5" s="8">
        <f t="shared" si="1"/>
        <v>14</v>
      </c>
    </row>
    <row r="6" spans="1:11" ht="14.25" hidden="1" customHeight="1" x14ac:dyDescent="0.3">
      <c r="A6" s="4" t="s">
        <v>72</v>
      </c>
      <c r="B6" s="4" t="s">
        <v>57</v>
      </c>
      <c r="C6" s="3">
        <v>10</v>
      </c>
      <c r="D6" s="3">
        <v>8</v>
      </c>
      <c r="E6" s="3">
        <v>3</v>
      </c>
      <c r="F6" s="3">
        <v>25</v>
      </c>
      <c r="G6" s="3">
        <v>16</v>
      </c>
      <c r="H6" s="4" t="s">
        <v>73</v>
      </c>
      <c r="I6" s="4" t="s">
        <v>74</v>
      </c>
      <c r="J6" s="3">
        <f t="shared" si="0"/>
        <v>8</v>
      </c>
      <c r="K6" s="3" t="str">
        <f t="shared" si="1"/>
        <v/>
      </c>
    </row>
    <row r="7" spans="1:11" ht="14.25" customHeight="1" x14ac:dyDescent="0.3">
      <c r="A7" s="7" t="s">
        <v>76</v>
      </c>
      <c r="B7" s="7" t="s">
        <v>61</v>
      </c>
      <c r="C7" s="6">
        <v>34</v>
      </c>
      <c r="D7" s="6">
        <v>21</v>
      </c>
      <c r="E7" s="6">
        <v>21</v>
      </c>
      <c r="F7" s="6">
        <v>40</v>
      </c>
      <c r="G7" s="6">
        <v>18</v>
      </c>
      <c r="H7" s="7" t="s">
        <v>77</v>
      </c>
      <c r="I7" s="7" t="s">
        <v>78</v>
      </c>
      <c r="J7" s="8" t="str">
        <f t="shared" si="0"/>
        <v/>
      </c>
      <c r="K7" s="8">
        <f t="shared" si="1"/>
        <v>21</v>
      </c>
    </row>
    <row r="8" spans="1:11" ht="14.25" customHeight="1" x14ac:dyDescent="0.3">
      <c r="A8" s="7" t="s">
        <v>80</v>
      </c>
      <c r="B8" s="7" t="s">
        <v>61</v>
      </c>
      <c r="C8" s="6">
        <v>44</v>
      </c>
      <c r="D8" s="6">
        <v>64</v>
      </c>
      <c r="E8" s="6">
        <v>50</v>
      </c>
      <c r="F8" s="6">
        <v>24</v>
      </c>
      <c r="G8" s="6">
        <v>35</v>
      </c>
      <c r="H8" s="7" t="s">
        <v>81</v>
      </c>
      <c r="I8" s="7" t="s">
        <v>82</v>
      </c>
      <c r="J8" s="8" t="str">
        <f t="shared" si="0"/>
        <v/>
      </c>
      <c r="K8" s="8">
        <f t="shared" si="1"/>
        <v>64</v>
      </c>
    </row>
    <row r="9" spans="1:11" ht="14.25" hidden="1" customHeight="1" x14ac:dyDescent="0.3">
      <c r="A9" s="4" t="s">
        <v>80</v>
      </c>
      <c r="B9" s="4" t="s">
        <v>57</v>
      </c>
      <c r="C9" s="3">
        <v>16</v>
      </c>
      <c r="D9" s="3">
        <v>53</v>
      </c>
      <c r="E9" s="3">
        <v>67</v>
      </c>
      <c r="F9" s="3">
        <v>58</v>
      </c>
      <c r="G9" s="3">
        <v>22</v>
      </c>
      <c r="H9" s="4" t="s">
        <v>84</v>
      </c>
      <c r="I9" s="4" t="s">
        <v>85</v>
      </c>
      <c r="J9" s="3">
        <f t="shared" si="0"/>
        <v>53</v>
      </c>
      <c r="K9" s="3" t="str">
        <f t="shared" si="1"/>
        <v/>
      </c>
    </row>
    <row r="10" spans="1:11" ht="14.25" hidden="1" customHeight="1" x14ac:dyDescent="0.3">
      <c r="A10" s="4" t="s">
        <v>87</v>
      </c>
      <c r="B10" s="4" t="s">
        <v>57</v>
      </c>
      <c r="C10" s="3">
        <v>15</v>
      </c>
      <c r="D10" s="3">
        <v>0</v>
      </c>
      <c r="E10" s="3">
        <v>9</v>
      </c>
      <c r="F10" s="3">
        <v>0</v>
      </c>
      <c r="G10" s="3">
        <v>0</v>
      </c>
      <c r="H10" s="4" t="s">
        <v>88</v>
      </c>
      <c r="I10" s="4" t="s">
        <v>89</v>
      </c>
      <c r="J10" s="3">
        <f t="shared" si="0"/>
        <v>0</v>
      </c>
      <c r="K10" s="3" t="str">
        <f t="shared" si="1"/>
        <v/>
      </c>
    </row>
    <row r="11" spans="1:11" ht="14.25" customHeight="1" x14ac:dyDescent="0.3">
      <c r="A11" s="7" t="s">
        <v>87</v>
      </c>
      <c r="B11" s="7" t="s">
        <v>61</v>
      </c>
      <c r="C11" s="6">
        <v>1</v>
      </c>
      <c r="D11" s="6">
        <v>0</v>
      </c>
      <c r="E11" s="6">
        <v>3</v>
      </c>
      <c r="F11" s="6">
        <v>0</v>
      </c>
      <c r="G11" s="6">
        <v>0</v>
      </c>
      <c r="H11" s="7" t="s">
        <v>91</v>
      </c>
      <c r="I11" s="7" t="s">
        <v>92</v>
      </c>
      <c r="J11" s="8" t="str">
        <f t="shared" si="0"/>
        <v/>
      </c>
      <c r="K11" s="8">
        <f t="shared" si="1"/>
        <v>0</v>
      </c>
    </row>
    <row r="12" spans="1:11" ht="14.25" customHeight="1" x14ac:dyDescent="0.3">
      <c r="A12" s="7" t="s">
        <v>94</v>
      </c>
      <c r="B12" s="7" t="s">
        <v>61</v>
      </c>
      <c r="C12" s="6">
        <v>9</v>
      </c>
      <c r="D12" s="6">
        <v>9</v>
      </c>
      <c r="E12" s="6">
        <v>8</v>
      </c>
      <c r="F12" s="6">
        <v>21</v>
      </c>
      <c r="G12" s="6">
        <v>4</v>
      </c>
      <c r="H12" s="7" t="s">
        <v>95</v>
      </c>
      <c r="I12" s="7" t="s">
        <v>96</v>
      </c>
      <c r="J12" s="8" t="str">
        <f t="shared" si="0"/>
        <v/>
      </c>
      <c r="K12" s="8">
        <f t="shared" si="1"/>
        <v>9</v>
      </c>
    </row>
    <row r="13" spans="1:11" ht="14.25" hidden="1" customHeight="1" x14ac:dyDescent="0.3">
      <c r="A13" s="4" t="s">
        <v>94</v>
      </c>
      <c r="B13" s="4" t="s">
        <v>57</v>
      </c>
      <c r="C13" s="3">
        <v>21</v>
      </c>
      <c r="D13" s="3">
        <v>31</v>
      </c>
      <c r="E13" s="3">
        <v>29</v>
      </c>
      <c r="F13" s="3">
        <v>32</v>
      </c>
      <c r="G13" s="3">
        <v>24</v>
      </c>
      <c r="H13" s="4" t="s">
        <v>98</v>
      </c>
      <c r="I13" s="4" t="s">
        <v>99</v>
      </c>
      <c r="J13" s="3">
        <f t="shared" si="0"/>
        <v>31</v>
      </c>
      <c r="K13" s="3" t="str">
        <f t="shared" si="1"/>
        <v/>
      </c>
    </row>
    <row r="14" spans="1:11" ht="14.25" customHeight="1" x14ac:dyDescent="0.3">
      <c r="A14" s="7" t="s">
        <v>101</v>
      </c>
      <c r="B14" s="7" t="s">
        <v>61</v>
      </c>
      <c r="C14" s="6">
        <v>39</v>
      </c>
      <c r="D14" s="6">
        <v>3</v>
      </c>
      <c r="E14" s="6">
        <v>50</v>
      </c>
      <c r="F14" s="6">
        <v>1</v>
      </c>
      <c r="G14" s="6">
        <v>1</v>
      </c>
      <c r="H14" s="7" t="s">
        <v>102</v>
      </c>
      <c r="I14" s="7" t="s">
        <v>103</v>
      </c>
      <c r="J14" s="8" t="str">
        <f t="shared" si="0"/>
        <v/>
      </c>
      <c r="K14" s="8">
        <f t="shared" si="1"/>
        <v>3</v>
      </c>
    </row>
    <row r="15" spans="1:11" ht="14.25" hidden="1" customHeight="1" x14ac:dyDescent="0.3">
      <c r="A15" s="4" t="s">
        <v>101</v>
      </c>
      <c r="B15" s="4" t="s">
        <v>57</v>
      </c>
      <c r="C15" s="3">
        <v>5</v>
      </c>
      <c r="D15" s="3">
        <v>1</v>
      </c>
      <c r="E15" s="3">
        <v>69</v>
      </c>
      <c r="F15" s="3">
        <v>3</v>
      </c>
      <c r="G15" s="3">
        <v>2</v>
      </c>
      <c r="H15" s="4" t="s">
        <v>105</v>
      </c>
      <c r="I15" s="4" t="s">
        <v>106</v>
      </c>
      <c r="J15" s="3">
        <f t="shared" si="0"/>
        <v>1</v>
      </c>
      <c r="K15" s="3" t="str">
        <f t="shared" si="1"/>
        <v/>
      </c>
    </row>
    <row r="16" spans="1:11" ht="14.25" hidden="1" customHeight="1" x14ac:dyDescent="0.3">
      <c r="A16" s="4" t="s">
        <v>108</v>
      </c>
      <c r="B16" s="4" t="s">
        <v>57</v>
      </c>
      <c r="C16" s="3">
        <v>51</v>
      </c>
      <c r="D16" s="3">
        <v>8</v>
      </c>
      <c r="E16" s="3">
        <v>34</v>
      </c>
      <c r="F16" s="3">
        <v>6</v>
      </c>
      <c r="G16" s="3">
        <v>2</v>
      </c>
      <c r="H16" s="4" t="s">
        <v>109</v>
      </c>
      <c r="I16" s="4" t="s">
        <v>110</v>
      </c>
      <c r="J16" s="3">
        <f t="shared" si="0"/>
        <v>8</v>
      </c>
      <c r="K16" s="3" t="str">
        <f t="shared" si="1"/>
        <v/>
      </c>
    </row>
    <row r="17" spans="1:11" ht="14.25" customHeight="1" x14ac:dyDescent="0.3">
      <c r="A17" s="7" t="s">
        <v>108</v>
      </c>
      <c r="B17" s="7" t="s">
        <v>61</v>
      </c>
      <c r="C17" s="6">
        <v>31</v>
      </c>
      <c r="D17" s="6">
        <v>13</v>
      </c>
      <c r="E17" s="6">
        <v>66</v>
      </c>
      <c r="F17" s="6">
        <v>5</v>
      </c>
      <c r="G17" s="6">
        <v>2</v>
      </c>
      <c r="H17" s="7" t="s">
        <v>112</v>
      </c>
      <c r="I17" s="7" t="s">
        <v>113</v>
      </c>
      <c r="J17" s="8" t="str">
        <f t="shared" si="0"/>
        <v/>
      </c>
      <c r="K17" s="8">
        <f t="shared" si="1"/>
        <v>13</v>
      </c>
    </row>
    <row r="18" spans="1:11" ht="14.25" customHeight="1" x14ac:dyDescent="0.3">
      <c r="A18" s="7" t="s">
        <v>115</v>
      </c>
      <c r="B18" s="7" t="s">
        <v>61</v>
      </c>
      <c r="C18" s="6">
        <v>77</v>
      </c>
      <c r="D18" s="6">
        <v>4</v>
      </c>
      <c r="E18" s="6">
        <v>19</v>
      </c>
      <c r="F18" s="6">
        <v>9</v>
      </c>
      <c r="G18" s="6">
        <v>2</v>
      </c>
      <c r="H18" s="7" t="s">
        <v>116</v>
      </c>
      <c r="I18" s="7" t="s">
        <v>117</v>
      </c>
      <c r="J18" s="8" t="str">
        <f t="shared" si="0"/>
        <v/>
      </c>
      <c r="K18" s="8">
        <f t="shared" si="1"/>
        <v>4</v>
      </c>
    </row>
    <row r="19" spans="1:11" ht="14.25" hidden="1" customHeight="1" x14ac:dyDescent="0.3">
      <c r="A19" s="4" t="s">
        <v>115</v>
      </c>
      <c r="B19" s="4" t="s">
        <v>57</v>
      </c>
      <c r="C19" s="3">
        <v>1</v>
      </c>
      <c r="D19" s="3">
        <v>8</v>
      </c>
      <c r="E19" s="3">
        <v>83</v>
      </c>
      <c r="F19" s="3">
        <v>16</v>
      </c>
      <c r="G19" s="3">
        <v>1</v>
      </c>
      <c r="H19" s="4" t="s">
        <v>119</v>
      </c>
      <c r="I19" s="4" t="s">
        <v>120</v>
      </c>
      <c r="J19" s="3">
        <f t="shared" si="0"/>
        <v>8</v>
      </c>
      <c r="K19" s="3" t="str">
        <f t="shared" si="1"/>
        <v/>
      </c>
    </row>
    <row r="20" spans="1:11" ht="14.25" hidden="1" customHeight="1" x14ac:dyDescent="0.3">
      <c r="A20" s="4" t="s">
        <v>122</v>
      </c>
      <c r="B20" s="4" t="s">
        <v>57</v>
      </c>
      <c r="C20" s="3">
        <v>36</v>
      </c>
      <c r="D20" s="3">
        <v>0</v>
      </c>
      <c r="E20" s="3">
        <v>14</v>
      </c>
      <c r="F20" s="3">
        <v>0</v>
      </c>
      <c r="G20" s="3">
        <v>0</v>
      </c>
      <c r="H20" s="4" t="s">
        <v>116</v>
      </c>
      <c r="I20" s="4" t="s">
        <v>123</v>
      </c>
      <c r="J20" s="3">
        <f t="shared" si="0"/>
        <v>0</v>
      </c>
      <c r="K20" s="3" t="str">
        <f t="shared" si="1"/>
        <v/>
      </c>
    </row>
    <row r="21" spans="1:11" ht="14.25" customHeight="1" x14ac:dyDescent="0.3">
      <c r="A21" s="7" t="s">
        <v>122</v>
      </c>
      <c r="B21" s="7" t="s">
        <v>61</v>
      </c>
      <c r="C21" s="6">
        <v>61</v>
      </c>
      <c r="D21" s="6">
        <v>0</v>
      </c>
      <c r="E21" s="6">
        <v>33</v>
      </c>
      <c r="F21" s="6">
        <v>0</v>
      </c>
      <c r="G21" s="6">
        <v>0</v>
      </c>
      <c r="H21" s="7" t="s">
        <v>125</v>
      </c>
      <c r="I21" s="7" t="s">
        <v>126</v>
      </c>
      <c r="J21" s="8" t="str">
        <f t="shared" si="0"/>
        <v/>
      </c>
      <c r="K21" s="8">
        <f t="shared" si="1"/>
        <v>0</v>
      </c>
    </row>
    <row r="22" spans="1:11" ht="14.25" hidden="1" customHeight="1" x14ac:dyDescent="0.3">
      <c r="A22" s="9" t="s">
        <v>128</v>
      </c>
      <c r="B22" s="4" t="s">
        <v>57</v>
      </c>
      <c r="C22" s="3">
        <v>94</v>
      </c>
      <c r="D22" s="3">
        <v>94</v>
      </c>
      <c r="E22" s="3">
        <v>100</v>
      </c>
      <c r="F22" s="3">
        <v>6</v>
      </c>
      <c r="G22" s="3">
        <v>1</v>
      </c>
      <c r="H22" s="4" t="s">
        <v>129</v>
      </c>
      <c r="I22" s="4" t="s">
        <v>130</v>
      </c>
      <c r="J22" s="3">
        <f t="shared" si="0"/>
        <v>94</v>
      </c>
      <c r="K22" s="3" t="str">
        <f t="shared" si="1"/>
        <v/>
      </c>
    </row>
    <row r="23" spans="1:11" ht="14.25" customHeight="1" x14ac:dyDescent="0.3">
      <c r="A23" s="7" t="s">
        <v>132</v>
      </c>
      <c r="B23" s="7" t="s">
        <v>61</v>
      </c>
      <c r="C23" s="8">
        <v>0</v>
      </c>
      <c r="D23" s="8">
        <v>0</v>
      </c>
      <c r="E23" s="8">
        <v>27</v>
      </c>
      <c r="F23" s="8">
        <v>0</v>
      </c>
      <c r="G23" s="8">
        <v>0</v>
      </c>
      <c r="H23" s="7" t="s">
        <v>133</v>
      </c>
      <c r="I23" s="7" t="s">
        <v>134</v>
      </c>
      <c r="J23" s="8" t="str">
        <f t="shared" si="0"/>
        <v/>
      </c>
      <c r="K23" s="8">
        <f t="shared" si="1"/>
        <v>0</v>
      </c>
    </row>
    <row r="24" spans="1:11" ht="14.25" customHeight="1" x14ac:dyDescent="0.3">
      <c r="A24" s="9" t="s">
        <v>136</v>
      </c>
      <c r="B24" s="7" t="s">
        <v>61</v>
      </c>
      <c r="C24" s="6">
        <v>100</v>
      </c>
      <c r="D24" s="6">
        <v>97</v>
      </c>
      <c r="E24" s="6">
        <v>100</v>
      </c>
      <c r="F24" s="6">
        <v>50</v>
      </c>
      <c r="G24" s="6">
        <v>0</v>
      </c>
      <c r="H24" s="7" t="s">
        <v>91</v>
      </c>
      <c r="I24" s="7" t="s">
        <v>137</v>
      </c>
      <c r="J24" s="8" t="str">
        <f t="shared" si="0"/>
        <v/>
      </c>
      <c r="K24" s="8">
        <f t="shared" si="1"/>
        <v>97</v>
      </c>
    </row>
    <row r="25" spans="1:11" ht="14.25" hidden="1" customHeight="1" x14ac:dyDescent="0.3">
      <c r="A25" s="4" t="s">
        <v>139</v>
      </c>
      <c r="B25" s="4" t="s">
        <v>57</v>
      </c>
      <c r="C25" s="3">
        <v>2</v>
      </c>
      <c r="D25" s="3">
        <v>0</v>
      </c>
      <c r="E25" s="3">
        <v>32</v>
      </c>
      <c r="F25" s="3">
        <v>0</v>
      </c>
      <c r="G25" s="3">
        <v>0</v>
      </c>
      <c r="H25" s="4" t="s">
        <v>140</v>
      </c>
      <c r="I25" s="4" t="s">
        <v>141</v>
      </c>
      <c r="J25" s="3">
        <f t="shared" si="0"/>
        <v>0</v>
      </c>
      <c r="K25" s="3" t="str">
        <f t="shared" si="1"/>
        <v/>
      </c>
    </row>
    <row r="26" spans="1:11" ht="14.25" customHeight="1" x14ac:dyDescent="0.3">
      <c r="A26" s="7" t="s">
        <v>143</v>
      </c>
      <c r="B26" s="7" t="s">
        <v>61</v>
      </c>
      <c r="C26" s="6">
        <v>35</v>
      </c>
      <c r="D26" s="6">
        <v>9</v>
      </c>
      <c r="E26" s="6">
        <v>4</v>
      </c>
      <c r="F26" s="6">
        <v>8</v>
      </c>
      <c r="G26" s="6">
        <v>15</v>
      </c>
      <c r="H26" s="7" t="s">
        <v>125</v>
      </c>
      <c r="I26" s="7" t="s">
        <v>103</v>
      </c>
      <c r="J26" s="8" t="str">
        <f t="shared" si="0"/>
        <v/>
      </c>
      <c r="K26" s="8">
        <f t="shared" si="1"/>
        <v>9</v>
      </c>
    </row>
    <row r="27" spans="1:11" ht="14.25" hidden="1" customHeight="1" x14ac:dyDescent="0.3">
      <c r="A27" s="4" t="s">
        <v>143</v>
      </c>
      <c r="B27" s="4" t="s">
        <v>57</v>
      </c>
      <c r="C27" s="3">
        <v>12</v>
      </c>
      <c r="D27" s="3">
        <v>4</v>
      </c>
      <c r="E27" s="3">
        <v>24</v>
      </c>
      <c r="F27" s="3">
        <v>5</v>
      </c>
      <c r="G27" s="3">
        <v>5</v>
      </c>
      <c r="H27" s="4" t="s">
        <v>145</v>
      </c>
      <c r="I27" s="4" t="s">
        <v>103</v>
      </c>
      <c r="J27" s="3">
        <f t="shared" si="0"/>
        <v>4</v>
      </c>
      <c r="K27" s="3" t="str">
        <f t="shared" si="1"/>
        <v/>
      </c>
    </row>
    <row r="28" spans="1:11" ht="14.25" hidden="1" customHeight="1" x14ac:dyDescent="0.3">
      <c r="A28" s="4" t="s">
        <v>147</v>
      </c>
      <c r="B28" s="4" t="s">
        <v>57</v>
      </c>
      <c r="C28" s="3">
        <v>6</v>
      </c>
      <c r="D28" s="3">
        <v>13</v>
      </c>
      <c r="E28" s="3">
        <v>26</v>
      </c>
      <c r="F28" s="3">
        <v>15</v>
      </c>
      <c r="G28" s="3">
        <v>6</v>
      </c>
      <c r="H28" s="4" t="s">
        <v>148</v>
      </c>
      <c r="I28" s="4" t="s">
        <v>103</v>
      </c>
      <c r="J28" s="3">
        <f t="shared" si="0"/>
        <v>13</v>
      </c>
      <c r="K28" s="3" t="str">
        <f t="shared" si="1"/>
        <v/>
      </c>
    </row>
    <row r="29" spans="1:11" ht="14.25" customHeight="1" x14ac:dyDescent="0.3">
      <c r="A29" s="7" t="s">
        <v>147</v>
      </c>
      <c r="B29" s="7" t="s">
        <v>61</v>
      </c>
      <c r="C29" s="8">
        <v>49</v>
      </c>
      <c r="D29" s="8">
        <v>13</v>
      </c>
      <c r="E29" s="8">
        <v>49</v>
      </c>
      <c r="F29" s="8">
        <v>14</v>
      </c>
      <c r="G29" s="8">
        <v>5</v>
      </c>
      <c r="H29" s="7" t="s">
        <v>150</v>
      </c>
      <c r="I29" s="7" t="s">
        <v>151</v>
      </c>
      <c r="J29" s="8" t="str">
        <f t="shared" si="0"/>
        <v/>
      </c>
      <c r="K29" s="8">
        <f t="shared" si="1"/>
        <v>13</v>
      </c>
    </row>
    <row r="30" spans="1:11" ht="14.25" customHeight="1" x14ac:dyDescent="0.3">
      <c r="A30" s="7" t="s">
        <v>153</v>
      </c>
      <c r="B30" s="7" t="s">
        <v>61</v>
      </c>
      <c r="C30" s="8">
        <v>49</v>
      </c>
      <c r="D30" s="8">
        <v>23</v>
      </c>
      <c r="E30" s="8">
        <v>42</v>
      </c>
      <c r="F30" s="8">
        <v>29</v>
      </c>
      <c r="G30" s="8">
        <v>9</v>
      </c>
      <c r="H30" s="7" t="s">
        <v>154</v>
      </c>
      <c r="I30" s="7" t="s">
        <v>155</v>
      </c>
      <c r="J30" s="8" t="str">
        <f t="shared" si="0"/>
        <v/>
      </c>
      <c r="K30" s="8">
        <f t="shared" si="1"/>
        <v>23</v>
      </c>
    </row>
    <row r="31" spans="1:11" ht="14.25" hidden="1" customHeight="1" x14ac:dyDescent="0.3">
      <c r="A31" s="4" t="s">
        <v>153</v>
      </c>
      <c r="B31" s="4" t="s">
        <v>57</v>
      </c>
      <c r="C31" s="3">
        <v>0</v>
      </c>
      <c r="D31" s="3">
        <v>9</v>
      </c>
      <c r="E31" s="3">
        <v>61</v>
      </c>
      <c r="F31" s="3">
        <v>8</v>
      </c>
      <c r="G31" s="3">
        <v>0</v>
      </c>
      <c r="H31" s="4" t="s">
        <v>157</v>
      </c>
      <c r="I31" s="4" t="s">
        <v>158</v>
      </c>
      <c r="J31" s="3">
        <f t="shared" si="0"/>
        <v>9</v>
      </c>
      <c r="K31" s="3" t="str">
        <f t="shared" si="1"/>
        <v/>
      </c>
    </row>
    <row r="32" spans="1:11" ht="14.25" hidden="1" customHeight="1" x14ac:dyDescent="0.3">
      <c r="A32" s="4" t="s">
        <v>160</v>
      </c>
      <c r="B32" s="4" t="s">
        <v>57</v>
      </c>
      <c r="C32" s="3">
        <v>36</v>
      </c>
      <c r="D32" s="3">
        <v>6</v>
      </c>
      <c r="E32" s="3">
        <v>7</v>
      </c>
      <c r="F32" s="3">
        <v>5</v>
      </c>
      <c r="G32" s="3">
        <v>0</v>
      </c>
      <c r="H32" s="4" t="s">
        <v>161</v>
      </c>
      <c r="I32" s="4" t="s">
        <v>162</v>
      </c>
      <c r="J32" s="3">
        <f t="shared" si="0"/>
        <v>6</v>
      </c>
      <c r="K32" s="3" t="str">
        <f t="shared" si="1"/>
        <v/>
      </c>
    </row>
    <row r="33" spans="1:35" ht="14.25" customHeight="1" x14ac:dyDescent="0.3">
      <c r="A33" s="7" t="s">
        <v>160</v>
      </c>
      <c r="B33" s="7" t="s">
        <v>61</v>
      </c>
      <c r="C33" s="8">
        <v>58</v>
      </c>
      <c r="D33" s="8">
        <v>4</v>
      </c>
      <c r="E33" s="8">
        <v>9</v>
      </c>
      <c r="F33" s="8">
        <v>1</v>
      </c>
      <c r="G33" s="8">
        <v>1</v>
      </c>
      <c r="H33" s="7" t="s">
        <v>164</v>
      </c>
      <c r="I33" s="7" t="s">
        <v>165</v>
      </c>
      <c r="J33" s="8" t="str">
        <f t="shared" si="0"/>
        <v/>
      </c>
      <c r="K33" s="8">
        <f t="shared" si="1"/>
        <v>4</v>
      </c>
    </row>
    <row r="34" spans="1:35" ht="14.25" customHeight="1" x14ac:dyDescent="0.3">
      <c r="A34" s="7" t="s">
        <v>167</v>
      </c>
      <c r="B34" s="7" t="s">
        <v>61</v>
      </c>
      <c r="C34" s="8">
        <v>6</v>
      </c>
      <c r="D34" s="8">
        <v>8</v>
      </c>
      <c r="E34" s="8">
        <v>6</v>
      </c>
      <c r="F34" s="8">
        <v>8</v>
      </c>
      <c r="G34" s="8">
        <v>0</v>
      </c>
      <c r="H34" s="7" t="s">
        <v>168</v>
      </c>
      <c r="I34" s="7" t="s">
        <v>169</v>
      </c>
      <c r="J34" s="8" t="str">
        <f t="shared" si="0"/>
        <v/>
      </c>
      <c r="K34" s="8">
        <f t="shared" si="1"/>
        <v>8</v>
      </c>
    </row>
    <row r="35" spans="1:35" ht="14.25" hidden="1" customHeight="1" x14ac:dyDescent="0.3">
      <c r="A35" s="4" t="s">
        <v>167</v>
      </c>
      <c r="B35" s="4" t="s">
        <v>57</v>
      </c>
      <c r="C35" s="3">
        <v>26</v>
      </c>
      <c r="D35" s="3">
        <v>0</v>
      </c>
      <c r="E35" s="3">
        <v>16</v>
      </c>
      <c r="F35" s="3">
        <v>0</v>
      </c>
      <c r="G35" s="3">
        <v>0</v>
      </c>
      <c r="H35" s="4" t="s">
        <v>168</v>
      </c>
      <c r="I35" s="4" t="s">
        <v>171</v>
      </c>
      <c r="J35" s="3">
        <f t="shared" si="0"/>
        <v>0</v>
      </c>
      <c r="K35" s="3" t="str">
        <f t="shared" si="1"/>
        <v/>
      </c>
    </row>
    <row r="36" spans="1:35" s="18" customFormat="1" ht="14.25" hidden="1" customHeight="1" x14ac:dyDescent="0.3">
      <c r="A36" s="17" t="s">
        <v>188</v>
      </c>
      <c r="B36" s="17" t="s">
        <v>57</v>
      </c>
      <c r="C36" s="16">
        <v>47</v>
      </c>
      <c r="D36" s="16">
        <v>14</v>
      </c>
      <c r="E36" s="16">
        <v>14</v>
      </c>
      <c r="F36" s="16">
        <v>19</v>
      </c>
      <c r="G36" s="16">
        <v>9</v>
      </c>
      <c r="H36" s="17" t="s">
        <v>189</v>
      </c>
      <c r="I36" s="17" t="s">
        <v>190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</row>
    <row r="37" spans="1:35" ht="14.25" customHeight="1" x14ac:dyDescent="0.3">
      <c r="A37" s="14" t="s">
        <v>188</v>
      </c>
      <c r="B37" s="14" t="s">
        <v>61</v>
      </c>
      <c r="C37" s="13">
        <v>1</v>
      </c>
      <c r="D37" s="13">
        <v>48</v>
      </c>
      <c r="E37" s="13">
        <v>78</v>
      </c>
      <c r="F37" s="13">
        <v>45</v>
      </c>
      <c r="G37" s="13">
        <v>30</v>
      </c>
      <c r="H37" s="14" t="s">
        <v>192</v>
      </c>
      <c r="I37" s="14" t="s">
        <v>193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</row>
    <row r="38" spans="1:35" ht="14.25" customHeight="1" x14ac:dyDescent="0.3">
      <c r="A38" s="14" t="s">
        <v>196</v>
      </c>
      <c r="B38" s="14" t="s">
        <v>61</v>
      </c>
      <c r="C38" s="13">
        <v>16</v>
      </c>
      <c r="D38" s="13">
        <v>7</v>
      </c>
      <c r="E38" s="13">
        <v>1</v>
      </c>
      <c r="F38" s="13">
        <v>2</v>
      </c>
      <c r="G38" s="13">
        <v>0</v>
      </c>
      <c r="H38" s="14" t="s">
        <v>197</v>
      </c>
      <c r="I38" s="14" t="s">
        <v>198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</row>
    <row r="39" spans="1:35" s="18" customFormat="1" ht="14.25" hidden="1" customHeight="1" x14ac:dyDescent="0.3">
      <c r="A39" s="17" t="s">
        <v>196</v>
      </c>
      <c r="B39" s="17" t="s">
        <v>57</v>
      </c>
      <c r="C39" s="16">
        <v>39</v>
      </c>
      <c r="D39" s="16">
        <v>10</v>
      </c>
      <c r="E39" s="16">
        <v>30</v>
      </c>
      <c r="F39" s="16">
        <v>17</v>
      </c>
      <c r="G39" s="16">
        <v>1</v>
      </c>
      <c r="H39" s="17" t="s">
        <v>200</v>
      </c>
      <c r="I39" s="17" t="s">
        <v>198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</row>
    <row r="40" spans="1:35" s="18" customFormat="1" ht="14.25" hidden="1" customHeight="1" x14ac:dyDescent="0.3">
      <c r="A40" s="17" t="s">
        <v>202</v>
      </c>
      <c r="B40" s="17" t="s">
        <v>57</v>
      </c>
      <c r="C40" s="16">
        <v>98</v>
      </c>
      <c r="D40" s="16">
        <v>13</v>
      </c>
      <c r="E40" s="16">
        <v>3</v>
      </c>
      <c r="F40" s="16">
        <v>0</v>
      </c>
      <c r="G40" s="16">
        <v>2</v>
      </c>
      <c r="H40" s="17" t="s">
        <v>203</v>
      </c>
      <c r="I40" s="17" t="s">
        <v>198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</row>
    <row r="41" spans="1:35" ht="14.25" customHeight="1" x14ac:dyDescent="0.3">
      <c r="A41" s="14" t="s">
        <v>202</v>
      </c>
      <c r="B41" s="14" t="s">
        <v>61</v>
      </c>
      <c r="C41" s="13">
        <v>2</v>
      </c>
      <c r="D41" s="13">
        <v>26</v>
      </c>
      <c r="E41" s="13">
        <v>48</v>
      </c>
      <c r="F41" s="13">
        <v>10</v>
      </c>
      <c r="G41" s="13">
        <v>13</v>
      </c>
      <c r="H41" s="14" t="s">
        <v>205</v>
      </c>
      <c r="I41" s="14" t="s">
        <v>206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</row>
    <row r="42" spans="1:35" ht="14.25" customHeight="1" x14ac:dyDescent="0.3">
      <c r="A42" s="14" t="s">
        <v>208</v>
      </c>
      <c r="B42" s="14" t="s">
        <v>61</v>
      </c>
      <c r="C42" s="13">
        <v>3</v>
      </c>
      <c r="D42" s="13">
        <v>9</v>
      </c>
      <c r="E42" s="13">
        <v>3</v>
      </c>
      <c r="F42" s="13">
        <v>5</v>
      </c>
      <c r="G42" s="13">
        <v>3</v>
      </c>
      <c r="H42" s="14" t="s">
        <v>209</v>
      </c>
      <c r="I42" s="14" t="s">
        <v>103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</row>
    <row r="43" spans="1:35" s="18" customFormat="1" ht="14.25" hidden="1" customHeight="1" x14ac:dyDescent="0.3">
      <c r="A43" s="17" t="s">
        <v>208</v>
      </c>
      <c r="B43" s="17" t="s">
        <v>57</v>
      </c>
      <c r="C43" s="16">
        <v>16</v>
      </c>
      <c r="D43" s="16">
        <v>7</v>
      </c>
      <c r="E43" s="16">
        <v>23</v>
      </c>
      <c r="F43" s="16">
        <v>10</v>
      </c>
      <c r="G43" s="16">
        <v>3</v>
      </c>
      <c r="H43" s="17" t="s">
        <v>211</v>
      </c>
      <c r="I43" s="17" t="s">
        <v>212</v>
      </c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</row>
    <row r="44" spans="1:35" s="18" customFormat="1" ht="14.25" hidden="1" customHeight="1" x14ac:dyDescent="0.3">
      <c r="A44" s="17" t="s">
        <v>214</v>
      </c>
      <c r="B44" s="17" t="s">
        <v>57</v>
      </c>
      <c r="C44" s="16">
        <v>34</v>
      </c>
      <c r="D44" s="16">
        <v>2</v>
      </c>
      <c r="E44" s="16">
        <v>27</v>
      </c>
      <c r="F44" s="16">
        <v>11</v>
      </c>
      <c r="G44" s="16">
        <v>5</v>
      </c>
      <c r="H44" s="17" t="s">
        <v>215</v>
      </c>
      <c r="I44" s="17" t="s">
        <v>103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</row>
    <row r="45" spans="1:35" ht="14.25" customHeight="1" x14ac:dyDescent="0.3">
      <c r="A45" s="14" t="s">
        <v>214</v>
      </c>
      <c r="B45" s="14" t="s">
        <v>61</v>
      </c>
      <c r="C45" s="13">
        <v>62</v>
      </c>
      <c r="D45" s="13">
        <v>11</v>
      </c>
      <c r="E45" s="13">
        <v>48</v>
      </c>
      <c r="F45" s="13">
        <v>24</v>
      </c>
      <c r="G45" s="13">
        <v>10</v>
      </c>
      <c r="H45" s="14" t="s">
        <v>215</v>
      </c>
      <c r="I45" s="14" t="s">
        <v>217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</row>
    <row r="46" spans="1:35" ht="14.25" customHeight="1" x14ac:dyDescent="0.3">
      <c r="A46" s="14" t="s">
        <v>220</v>
      </c>
      <c r="B46" s="14" t="s">
        <v>61</v>
      </c>
      <c r="C46" s="13">
        <v>9</v>
      </c>
      <c r="D46" s="13">
        <v>33</v>
      </c>
      <c r="E46" s="13">
        <v>5</v>
      </c>
      <c r="F46" s="13">
        <v>44</v>
      </c>
      <c r="G46" s="13">
        <v>18</v>
      </c>
      <c r="H46" s="14" t="s">
        <v>221</v>
      </c>
      <c r="I46" s="14" t="s">
        <v>222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</row>
    <row r="47" spans="1:35" s="18" customFormat="1" ht="14.25" hidden="1" customHeight="1" x14ac:dyDescent="0.3">
      <c r="A47" s="17" t="s">
        <v>220</v>
      </c>
      <c r="B47" s="17" t="s">
        <v>57</v>
      </c>
      <c r="C47" s="16">
        <v>15</v>
      </c>
      <c r="D47" s="16">
        <v>3</v>
      </c>
      <c r="E47" s="16">
        <v>1</v>
      </c>
      <c r="F47" s="16">
        <v>1</v>
      </c>
      <c r="G47" s="16">
        <v>1</v>
      </c>
      <c r="H47" s="17" t="s">
        <v>224</v>
      </c>
      <c r="I47" s="17" t="s">
        <v>225</v>
      </c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</row>
    <row r="48" spans="1:35" s="18" customFormat="1" ht="14.25" hidden="1" customHeight="1" x14ac:dyDescent="0.3">
      <c r="A48" s="17" t="s">
        <v>227</v>
      </c>
      <c r="B48" s="17" t="s">
        <v>57</v>
      </c>
      <c r="C48" s="16">
        <v>36</v>
      </c>
      <c r="D48" s="16">
        <v>2</v>
      </c>
      <c r="E48" s="16">
        <v>6</v>
      </c>
      <c r="F48" s="16">
        <v>0</v>
      </c>
      <c r="G48" s="16">
        <v>0</v>
      </c>
      <c r="H48" s="17" t="s">
        <v>228</v>
      </c>
      <c r="I48" s="17" t="s">
        <v>229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</row>
    <row r="49" spans="1:35" ht="14.25" customHeight="1" x14ac:dyDescent="0.3">
      <c r="A49" s="14" t="s">
        <v>227</v>
      </c>
      <c r="B49" s="14" t="s">
        <v>61</v>
      </c>
      <c r="C49" s="13">
        <v>29</v>
      </c>
      <c r="D49" s="13">
        <v>5</v>
      </c>
      <c r="E49" s="13">
        <v>23</v>
      </c>
      <c r="F49" s="13">
        <v>5</v>
      </c>
      <c r="G49" s="13">
        <v>5</v>
      </c>
      <c r="H49" s="14" t="s">
        <v>125</v>
      </c>
      <c r="I49" s="14" t="s">
        <v>231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1:35" ht="14.25" hidden="1" customHeight="1" x14ac:dyDescent="0.3">
      <c r="A50" s="22" t="s">
        <v>248</v>
      </c>
      <c r="B50" s="22" t="s">
        <v>57</v>
      </c>
      <c r="C50" s="20">
        <v>22</v>
      </c>
      <c r="D50" s="20">
        <v>6</v>
      </c>
      <c r="E50" s="20">
        <v>32</v>
      </c>
      <c r="F50" s="20">
        <v>21</v>
      </c>
      <c r="G50" s="20">
        <v>3</v>
      </c>
      <c r="H50" s="22" t="s">
        <v>252</v>
      </c>
      <c r="I50" s="22" t="s">
        <v>253</v>
      </c>
    </row>
    <row r="51" spans="1:35" ht="14.25" hidden="1" customHeight="1" x14ac:dyDescent="0.3">
      <c r="A51" s="22" t="s">
        <v>255</v>
      </c>
      <c r="B51" s="22" t="s">
        <v>57</v>
      </c>
      <c r="C51" s="20">
        <v>15</v>
      </c>
      <c r="D51" s="20">
        <v>6</v>
      </c>
      <c r="E51" s="20">
        <v>19</v>
      </c>
      <c r="F51" s="20">
        <v>25</v>
      </c>
      <c r="G51" s="20">
        <v>7</v>
      </c>
      <c r="H51" s="22" t="s">
        <v>256</v>
      </c>
      <c r="I51" s="22" t="s">
        <v>257</v>
      </c>
    </row>
    <row r="52" spans="1:35" ht="14.25" hidden="1" customHeight="1" x14ac:dyDescent="0.3">
      <c r="A52" s="22" t="s">
        <v>262</v>
      </c>
      <c r="B52" s="22" t="s">
        <v>57</v>
      </c>
      <c r="C52" s="20">
        <v>30</v>
      </c>
      <c r="D52" s="20">
        <v>10</v>
      </c>
      <c r="E52" s="20">
        <v>21</v>
      </c>
      <c r="F52" s="20">
        <v>6</v>
      </c>
      <c r="G52" s="20">
        <v>10</v>
      </c>
      <c r="H52" s="22" t="s">
        <v>263</v>
      </c>
      <c r="I52" s="22" t="s">
        <v>264</v>
      </c>
    </row>
    <row r="53" spans="1:35" ht="14.25" hidden="1" customHeight="1" x14ac:dyDescent="0.3">
      <c r="A53" s="22" t="s">
        <v>269</v>
      </c>
      <c r="B53" s="22" t="s">
        <v>57</v>
      </c>
      <c r="C53" s="20">
        <v>25</v>
      </c>
      <c r="D53" s="20">
        <v>10</v>
      </c>
      <c r="E53" s="20">
        <v>22</v>
      </c>
      <c r="F53" s="20">
        <v>7</v>
      </c>
      <c r="G53" s="20">
        <v>3</v>
      </c>
      <c r="H53" s="22" t="s">
        <v>270</v>
      </c>
      <c r="I53" s="22" t="s">
        <v>271</v>
      </c>
    </row>
    <row r="54" spans="1:35" ht="14.25" hidden="1" customHeight="1" x14ac:dyDescent="0.3">
      <c r="A54" s="22" t="s">
        <v>274</v>
      </c>
      <c r="B54" s="22" t="s">
        <v>57</v>
      </c>
      <c r="C54" s="20">
        <v>16</v>
      </c>
      <c r="D54" s="20">
        <v>22</v>
      </c>
      <c r="E54" s="20">
        <v>43</v>
      </c>
      <c r="F54" s="20">
        <v>33</v>
      </c>
      <c r="G54" s="20">
        <v>7</v>
      </c>
      <c r="H54" s="22" t="s">
        <v>275</v>
      </c>
      <c r="I54" s="22" t="s">
        <v>278</v>
      </c>
    </row>
    <row r="55" spans="1:35" ht="14.25" hidden="1" customHeight="1" x14ac:dyDescent="0.3">
      <c r="A55" s="23" t="s">
        <v>248</v>
      </c>
      <c r="B55" s="23" t="s">
        <v>57</v>
      </c>
      <c r="C55" s="24">
        <v>22</v>
      </c>
      <c r="D55" s="24">
        <v>6</v>
      </c>
      <c r="E55" s="24">
        <v>32</v>
      </c>
      <c r="F55" s="24">
        <v>21</v>
      </c>
      <c r="G55" s="24">
        <v>3</v>
      </c>
      <c r="H55" s="23" t="s">
        <v>252</v>
      </c>
      <c r="I55" s="23" t="s">
        <v>253</v>
      </c>
    </row>
    <row r="56" spans="1:35" ht="14.25" hidden="1" customHeight="1" x14ac:dyDescent="0.3">
      <c r="A56" s="23" t="s">
        <v>255</v>
      </c>
      <c r="B56" s="23" t="s">
        <v>57</v>
      </c>
      <c r="C56" s="24">
        <v>15</v>
      </c>
      <c r="D56" s="24">
        <v>6</v>
      </c>
      <c r="E56" s="24">
        <v>19</v>
      </c>
      <c r="F56" s="24">
        <v>25</v>
      </c>
      <c r="G56" s="24">
        <v>7</v>
      </c>
      <c r="H56" s="23" t="s">
        <v>256</v>
      </c>
      <c r="I56" s="23" t="s">
        <v>257</v>
      </c>
    </row>
    <row r="57" spans="1:35" ht="14.25" hidden="1" customHeight="1" x14ac:dyDescent="0.3">
      <c r="A57" s="23" t="s">
        <v>262</v>
      </c>
      <c r="B57" s="23" t="s">
        <v>57</v>
      </c>
      <c r="C57" s="24">
        <v>30</v>
      </c>
      <c r="D57" s="24">
        <v>10</v>
      </c>
      <c r="E57" s="24">
        <v>21</v>
      </c>
      <c r="F57" s="24">
        <v>6</v>
      </c>
      <c r="G57" s="24">
        <v>10</v>
      </c>
      <c r="H57" s="23" t="s">
        <v>263</v>
      </c>
      <c r="I57" s="23" t="s">
        <v>264</v>
      </c>
    </row>
    <row r="58" spans="1:35" ht="14.25" hidden="1" customHeight="1" x14ac:dyDescent="0.3">
      <c r="A58" s="23" t="s">
        <v>269</v>
      </c>
      <c r="B58" s="23" t="s">
        <v>57</v>
      </c>
      <c r="C58" s="24">
        <v>25</v>
      </c>
      <c r="D58" s="24">
        <v>10</v>
      </c>
      <c r="E58" s="24">
        <v>22</v>
      </c>
      <c r="F58" s="24">
        <v>7</v>
      </c>
      <c r="G58" s="24">
        <v>3</v>
      </c>
      <c r="H58" s="23" t="s">
        <v>270</v>
      </c>
      <c r="I58" s="23" t="s">
        <v>271</v>
      </c>
    </row>
    <row r="59" spans="1:35" ht="14.25" hidden="1" customHeight="1" x14ac:dyDescent="0.3">
      <c r="A59" s="23" t="s">
        <v>274</v>
      </c>
      <c r="B59" s="23" t="s">
        <v>57</v>
      </c>
      <c r="C59" s="24">
        <v>16</v>
      </c>
      <c r="D59" s="24">
        <v>22</v>
      </c>
      <c r="E59" s="24">
        <v>43</v>
      </c>
      <c r="F59" s="24">
        <v>33</v>
      </c>
      <c r="G59" s="24">
        <v>7</v>
      </c>
      <c r="H59" s="23" t="s">
        <v>275</v>
      </c>
      <c r="I59" s="23" t="s">
        <v>278</v>
      </c>
    </row>
    <row r="60" spans="1:35" ht="14.25" customHeight="1" x14ac:dyDescent="0.3">
      <c r="A60" s="23" t="s">
        <v>248</v>
      </c>
      <c r="B60" s="23" t="s">
        <v>61</v>
      </c>
      <c r="C60" s="24">
        <v>9</v>
      </c>
      <c r="D60" s="24">
        <v>6</v>
      </c>
      <c r="E60" s="24">
        <v>13</v>
      </c>
      <c r="F60" s="24">
        <v>2</v>
      </c>
      <c r="G60" s="24">
        <v>2</v>
      </c>
    </row>
    <row r="61" spans="1:35" ht="14.25" hidden="1" customHeight="1" x14ac:dyDescent="0.3">
      <c r="A61" s="23" t="s">
        <v>248</v>
      </c>
      <c r="B61" s="23" t="s">
        <v>57</v>
      </c>
      <c r="C61" s="24">
        <v>22</v>
      </c>
      <c r="D61" s="24">
        <v>6</v>
      </c>
      <c r="E61" s="24">
        <v>32</v>
      </c>
      <c r="F61" s="24">
        <v>21</v>
      </c>
      <c r="G61" s="24">
        <v>3</v>
      </c>
    </row>
    <row r="62" spans="1:35" ht="14.25" hidden="1" customHeight="1" x14ac:dyDescent="0.3">
      <c r="A62" s="23" t="s">
        <v>255</v>
      </c>
      <c r="B62" s="23" t="s">
        <v>57</v>
      </c>
      <c r="C62" s="24">
        <v>15</v>
      </c>
      <c r="D62" s="24">
        <v>6</v>
      </c>
      <c r="E62" s="24">
        <v>19</v>
      </c>
      <c r="F62" s="24">
        <v>25</v>
      </c>
      <c r="G62" s="24">
        <v>7</v>
      </c>
    </row>
    <row r="63" spans="1:35" ht="14.25" customHeight="1" x14ac:dyDescent="0.3">
      <c r="A63" s="23" t="s">
        <v>255</v>
      </c>
      <c r="B63" s="23" t="s">
        <v>61</v>
      </c>
      <c r="C63" s="24">
        <v>6</v>
      </c>
      <c r="D63" s="24">
        <v>11</v>
      </c>
      <c r="E63" s="24">
        <v>4</v>
      </c>
      <c r="F63" s="24">
        <v>11</v>
      </c>
      <c r="G63" s="24">
        <v>21</v>
      </c>
    </row>
    <row r="64" spans="1:35" ht="14.25" hidden="1" customHeight="1" x14ac:dyDescent="0.3">
      <c r="A64" s="23" t="s">
        <v>262</v>
      </c>
      <c r="B64" s="23" t="s">
        <v>57</v>
      </c>
      <c r="C64" s="24">
        <v>30</v>
      </c>
      <c r="D64" s="24">
        <v>10</v>
      </c>
      <c r="E64" s="24">
        <v>21</v>
      </c>
      <c r="F64" s="24">
        <v>6</v>
      </c>
      <c r="G64" s="24">
        <v>10</v>
      </c>
    </row>
    <row r="65" spans="1:11" ht="14.25" customHeight="1" x14ac:dyDescent="0.3">
      <c r="A65" s="23" t="s">
        <v>262</v>
      </c>
      <c r="B65" s="23" t="s">
        <v>61</v>
      </c>
      <c r="C65" s="24">
        <v>11</v>
      </c>
      <c r="D65" s="24">
        <v>21</v>
      </c>
      <c r="E65" s="24">
        <v>8</v>
      </c>
      <c r="F65" s="24">
        <v>5</v>
      </c>
      <c r="G65" s="24">
        <v>7</v>
      </c>
    </row>
    <row r="66" spans="1:11" ht="14.25" hidden="1" customHeight="1" x14ac:dyDescent="0.3">
      <c r="A66" s="23" t="s">
        <v>269</v>
      </c>
      <c r="B66" s="23" t="s">
        <v>57</v>
      </c>
      <c r="C66" s="24">
        <v>25</v>
      </c>
      <c r="D66" s="24">
        <v>10</v>
      </c>
      <c r="E66" s="24">
        <v>22</v>
      </c>
      <c r="F66" s="24">
        <v>7</v>
      </c>
      <c r="G66" s="24">
        <v>3</v>
      </c>
    </row>
    <row r="67" spans="1:11" ht="14.25" customHeight="1" x14ac:dyDescent="0.3">
      <c r="A67" s="23" t="s">
        <v>269</v>
      </c>
      <c r="B67" s="23" t="s">
        <v>61</v>
      </c>
      <c r="C67" s="24">
        <v>21</v>
      </c>
      <c r="D67" s="24">
        <v>4</v>
      </c>
      <c r="E67" s="24">
        <v>31</v>
      </c>
      <c r="F67" s="24">
        <v>1</v>
      </c>
      <c r="G67" s="24">
        <v>1</v>
      </c>
    </row>
    <row r="68" spans="1:11" ht="14.25" customHeight="1" x14ac:dyDescent="0.3">
      <c r="A68" s="23" t="s">
        <v>274</v>
      </c>
      <c r="B68" s="23" t="s">
        <v>61</v>
      </c>
      <c r="C68" s="24">
        <v>20</v>
      </c>
      <c r="D68" s="24">
        <v>12</v>
      </c>
      <c r="E68" s="24">
        <v>34</v>
      </c>
      <c r="F68" s="24">
        <v>19</v>
      </c>
      <c r="G68" s="24">
        <v>3</v>
      </c>
    </row>
    <row r="69" spans="1:11" ht="14.25" hidden="1" customHeight="1" x14ac:dyDescent="0.3">
      <c r="A69" s="23" t="s">
        <v>274</v>
      </c>
      <c r="B69" s="23" t="s">
        <v>57</v>
      </c>
      <c r="C69" s="24">
        <v>16</v>
      </c>
      <c r="D69" s="24">
        <v>22</v>
      </c>
      <c r="E69" s="24">
        <v>43</v>
      </c>
      <c r="F69" s="24">
        <v>33</v>
      </c>
      <c r="G69" s="24">
        <v>7</v>
      </c>
    </row>
    <row r="70" spans="1:11" ht="14.25" customHeight="1" x14ac:dyDescent="0.3"/>
    <row r="71" spans="1:11" ht="14.25" customHeight="1" x14ac:dyDescent="0.3">
      <c r="C71" s="1" t="s">
        <v>172</v>
      </c>
      <c r="D71" s="1" t="s">
        <v>173</v>
      </c>
      <c r="E71" s="1" t="s">
        <v>174</v>
      </c>
      <c r="F71" s="1" t="s">
        <v>175</v>
      </c>
      <c r="G71" s="1" t="s">
        <v>176</v>
      </c>
    </row>
    <row r="72" spans="1:11" ht="14.25" customHeight="1" x14ac:dyDescent="0.3">
      <c r="B72" s="10"/>
      <c r="D72" s="10"/>
      <c r="E72" s="10"/>
      <c r="F72" s="10"/>
      <c r="G72" s="10"/>
    </row>
    <row r="73" spans="1:11" ht="14.25" customHeight="1" x14ac:dyDescent="0.3"/>
    <row r="74" spans="1:11" ht="14.25" customHeight="1" x14ac:dyDescent="0.3">
      <c r="B74" s="6" t="s">
        <v>177</v>
      </c>
      <c r="C74" s="11">
        <f t="shared" ref="C74:D74" si="2">AVERAGE(C2,C4,C6,C9,C10,C13,C15,C16,C19,C20,C22,C25,C27,C28,C31,C32,C35)</f>
        <v>22.117647058823529</v>
      </c>
      <c r="D74" s="11">
        <f t="shared" si="2"/>
        <v>20.764705882352942</v>
      </c>
      <c r="E74" s="11">
        <f>AVERAGE(E2,E4,E6,E9,E10,E13,E15,E16,E19,E20,E22,E23,E25,E27,E28,E31,E32,E35,)</f>
        <v>38.789473684210527</v>
      </c>
      <c r="F74" s="11">
        <f t="shared" ref="F74:G74" si="3">AVERAGE(F2,F4,F6,F9,F10,F13,F15,F16,F19,F20,F22,F25,F27,F28,F31,F32,F35)</f>
        <v>18.882352941176471</v>
      </c>
      <c r="G74" s="11">
        <f t="shared" si="3"/>
        <v>9</v>
      </c>
      <c r="K74" s="6" t="e">
        <f>TTEST(J2:J17,K2:K17,2,1)</f>
        <v>#DIV/0!</v>
      </c>
    </row>
    <row r="75" spans="1:11" ht="14.25" customHeight="1" x14ac:dyDescent="0.3"/>
    <row r="76" spans="1:11" ht="14.25" customHeight="1" x14ac:dyDescent="0.3"/>
    <row r="77" spans="1:11" ht="14.25" customHeight="1" x14ac:dyDescent="0.3">
      <c r="B77" s="6" t="s">
        <v>178</v>
      </c>
      <c r="C77" s="6">
        <f>AVERAGE(C3,C5,C7,C8,C11,C12,C14,C17,C18,C21,C24,,C26,C29,C30,C33,C34,C23)</f>
        <v>36.833333333333336</v>
      </c>
      <c r="D77" s="6">
        <f t="shared" ref="D77:G77" si="4">AVERAGE(D3,D5,D7,D8,D11,D12,D14,D17,D18,D21,D24,D26,D29,D30,D33,D34,D23)</f>
        <v>21.058823529411764</v>
      </c>
      <c r="E77" s="6">
        <f t="shared" si="4"/>
        <v>35.470588235294116</v>
      </c>
      <c r="F77" s="6">
        <f t="shared" si="4"/>
        <v>18.117647058823529</v>
      </c>
      <c r="G77" s="6">
        <f t="shared" si="4"/>
        <v>9.5294117647058822</v>
      </c>
    </row>
    <row r="78" spans="1:11" ht="14.25" customHeight="1" x14ac:dyDescent="0.3"/>
    <row r="79" spans="1:11" ht="14.25" customHeight="1" x14ac:dyDescent="0.3"/>
    <row r="80" spans="1:11" ht="14.25" customHeight="1" x14ac:dyDescent="0.3"/>
    <row r="81" spans="1:9" ht="14.25" customHeight="1" x14ac:dyDescent="0.3"/>
    <row r="82" spans="1:9" ht="14.25" customHeight="1" x14ac:dyDescent="0.3"/>
    <row r="83" spans="1:9" ht="14.25" customHeight="1" x14ac:dyDescent="0.3"/>
    <row r="84" spans="1:9" ht="14.25" customHeight="1" x14ac:dyDescent="0.3"/>
    <row r="85" spans="1:9" ht="14.25" customHeight="1" x14ac:dyDescent="0.3"/>
    <row r="86" spans="1:9" ht="14.25" customHeight="1" x14ac:dyDescent="0.3"/>
    <row r="87" spans="1:9" ht="14.25" customHeight="1" x14ac:dyDescent="0.3"/>
    <row r="88" spans="1:9" ht="14.25" customHeight="1" x14ac:dyDescent="0.3"/>
    <row r="89" spans="1:9" ht="14.25" customHeight="1" x14ac:dyDescent="0.3"/>
    <row r="90" spans="1:9" ht="14.25" customHeight="1" x14ac:dyDescent="0.3"/>
    <row r="91" spans="1:9" ht="14.25" customHeight="1" x14ac:dyDescent="0.3"/>
    <row r="92" spans="1:9" ht="14.25" customHeight="1" x14ac:dyDescent="0.3"/>
    <row r="93" spans="1:9" ht="14.25" customHeight="1" x14ac:dyDescent="0.3">
      <c r="A93" s="7" t="s">
        <v>180</v>
      </c>
      <c r="B93" s="7" t="s">
        <v>61</v>
      </c>
      <c r="C93" s="6">
        <v>49</v>
      </c>
      <c r="D93" s="6">
        <v>1</v>
      </c>
      <c r="E93" s="6">
        <v>1</v>
      </c>
      <c r="F93" s="6">
        <v>1</v>
      </c>
      <c r="G93" s="6">
        <v>1</v>
      </c>
      <c r="H93" s="7" t="s">
        <v>181</v>
      </c>
      <c r="I93" s="7" t="s">
        <v>182</v>
      </c>
    </row>
    <row r="94" spans="1:9" ht="14.25" customHeight="1" x14ac:dyDescent="0.3">
      <c r="A94" s="7" t="s">
        <v>180</v>
      </c>
      <c r="B94" s="7" t="s">
        <v>49</v>
      </c>
      <c r="C94" s="6">
        <v>52</v>
      </c>
      <c r="D94" s="6">
        <v>5</v>
      </c>
      <c r="E94" s="6">
        <v>4</v>
      </c>
      <c r="F94" s="6">
        <v>1</v>
      </c>
      <c r="G94" s="6">
        <v>0</v>
      </c>
      <c r="H94" s="7" t="s">
        <v>184</v>
      </c>
      <c r="I94" s="7" t="s">
        <v>185</v>
      </c>
    </row>
    <row r="95" spans="1:9" ht="14.25" customHeight="1" x14ac:dyDescent="0.3"/>
    <row r="96" spans="1:9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</sheetData>
  <autoFilter ref="A1:I69" xr:uid="{00000000-0009-0000-0000-000000000000}">
    <filterColumn colId="1">
      <filters>
        <filter val="o"/>
      </filters>
    </filterColumn>
  </autoFilter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1000"/>
  <sheetViews>
    <sheetView workbookViewId="0">
      <selection activeCell="J23" sqref="J23"/>
    </sheetView>
  </sheetViews>
  <sheetFormatPr defaultColWidth="14.44140625" defaultRowHeight="15" customHeight="1" x14ac:dyDescent="0.3"/>
  <cols>
    <col min="1" max="26" width="8.6640625" customWidth="1"/>
  </cols>
  <sheetData>
    <row r="1" spans="1:10" ht="14.25" customHeight="1" x14ac:dyDescent="0.3">
      <c r="A1" s="6" t="s">
        <v>49</v>
      </c>
    </row>
    <row r="2" spans="1:10" ht="14.25" customHeight="1" x14ac:dyDescent="0.3">
      <c r="A2" s="6">
        <v>72</v>
      </c>
    </row>
    <row r="3" spans="1:10" ht="14.25" hidden="1" customHeight="1" x14ac:dyDescent="0.3">
      <c r="A3" s="6" t="s">
        <v>53</v>
      </c>
    </row>
    <row r="4" spans="1:10" ht="14.25" hidden="1" customHeight="1" x14ac:dyDescent="0.3">
      <c r="A4" s="6" t="s">
        <v>53</v>
      </c>
    </row>
    <row r="5" spans="1:10" ht="14.25" customHeight="1" x14ac:dyDescent="0.3">
      <c r="A5" s="6">
        <v>46</v>
      </c>
    </row>
    <row r="6" spans="1:10" ht="14.25" hidden="1" customHeight="1" x14ac:dyDescent="0.3">
      <c r="A6" s="6" t="s">
        <v>53</v>
      </c>
    </row>
    <row r="7" spans="1:10" ht="14.25" hidden="1" customHeight="1" x14ac:dyDescent="0.3">
      <c r="A7" s="6" t="s">
        <v>53</v>
      </c>
    </row>
    <row r="8" spans="1:10" ht="14.25" customHeight="1" x14ac:dyDescent="0.3">
      <c r="A8" s="6">
        <v>8</v>
      </c>
    </row>
    <row r="9" spans="1:10" ht="14.25" hidden="1" customHeight="1" x14ac:dyDescent="0.3">
      <c r="A9" s="6" t="s">
        <v>53</v>
      </c>
    </row>
    <row r="10" spans="1:10" ht="14.25" hidden="1" customHeight="1" x14ac:dyDescent="0.3">
      <c r="A10" s="6" t="s">
        <v>53</v>
      </c>
    </row>
    <row r="11" spans="1:10" ht="14.25" customHeight="1" x14ac:dyDescent="0.3">
      <c r="A11" s="6">
        <v>53</v>
      </c>
    </row>
    <row r="12" spans="1:10" ht="14.25" customHeight="1" x14ac:dyDescent="0.3">
      <c r="A12" s="6">
        <v>0</v>
      </c>
    </row>
    <row r="13" spans="1:10" ht="14.25" hidden="1" customHeight="1" x14ac:dyDescent="0.3">
      <c r="A13" s="6" t="s">
        <v>53</v>
      </c>
    </row>
    <row r="14" spans="1:10" ht="14.25" hidden="1" customHeight="1" x14ac:dyDescent="0.3">
      <c r="A14" s="6" t="s">
        <v>53</v>
      </c>
    </row>
    <row r="15" spans="1:10" ht="14.25" customHeight="1" x14ac:dyDescent="0.3">
      <c r="A15" s="6">
        <v>31</v>
      </c>
      <c r="I15" s="6" t="s">
        <v>49</v>
      </c>
      <c r="J15" s="6" t="s">
        <v>50</v>
      </c>
    </row>
    <row r="16" spans="1:10" ht="14.25" hidden="1" customHeight="1" x14ac:dyDescent="0.3">
      <c r="A16" s="6" t="s">
        <v>53</v>
      </c>
    </row>
    <row r="17" spans="1:10" ht="14.25" customHeight="1" x14ac:dyDescent="0.3">
      <c r="A17" s="6">
        <v>1</v>
      </c>
      <c r="I17" s="6">
        <v>72</v>
      </c>
      <c r="J17" s="6">
        <v>76</v>
      </c>
    </row>
    <row r="18" spans="1:10" ht="14.25" customHeight="1" x14ac:dyDescent="0.3">
      <c r="A18" s="6">
        <v>8</v>
      </c>
      <c r="I18" s="6">
        <v>46</v>
      </c>
      <c r="J18" s="6">
        <v>14</v>
      </c>
    </row>
    <row r="19" spans="1:10" ht="14.25" hidden="1" customHeight="1" x14ac:dyDescent="0.3">
      <c r="A19" s="6" t="s">
        <v>53</v>
      </c>
      <c r="I19" s="6">
        <v>8</v>
      </c>
      <c r="J19" s="6">
        <v>21</v>
      </c>
    </row>
    <row r="20" spans="1:10" ht="14.25" customHeight="1" x14ac:dyDescent="0.3">
      <c r="I20" s="6">
        <v>53</v>
      </c>
      <c r="J20" s="6">
        <v>64</v>
      </c>
    </row>
    <row r="21" spans="1:10" ht="14.25" customHeight="1" x14ac:dyDescent="0.3">
      <c r="I21" s="6">
        <v>0</v>
      </c>
      <c r="J21" s="6">
        <v>0</v>
      </c>
    </row>
    <row r="22" spans="1:10" ht="14.25" customHeight="1" x14ac:dyDescent="0.3">
      <c r="I22" s="6">
        <v>31</v>
      </c>
      <c r="J22" s="6">
        <v>9</v>
      </c>
    </row>
    <row r="23" spans="1:10" ht="14.25" customHeight="1" x14ac:dyDescent="0.3">
      <c r="I23" s="6">
        <v>1</v>
      </c>
      <c r="J23" s="6">
        <v>3</v>
      </c>
    </row>
    <row r="24" spans="1:10" ht="14.25" customHeight="1" x14ac:dyDescent="0.3">
      <c r="I24" s="6">
        <v>8</v>
      </c>
      <c r="J24" s="6">
        <v>13</v>
      </c>
    </row>
    <row r="25" spans="1:10" ht="14.25" customHeight="1" x14ac:dyDescent="0.3"/>
    <row r="26" spans="1:10" ht="14.25" customHeight="1" x14ac:dyDescent="0.3"/>
    <row r="27" spans="1:10" ht="14.25" customHeight="1" x14ac:dyDescent="0.3"/>
    <row r="28" spans="1:10" ht="14.25" customHeight="1" x14ac:dyDescent="0.3"/>
    <row r="29" spans="1:10" ht="14.25" customHeight="1" x14ac:dyDescent="0.3">
      <c r="I29" s="6">
        <f>TTEST(I17:I24,J17:J24,2,1)</f>
        <v>0.68766366756164388</v>
      </c>
    </row>
    <row r="30" spans="1:10" ht="14.25" customHeight="1" x14ac:dyDescent="0.3"/>
    <row r="31" spans="1:10" ht="14.25" customHeight="1" x14ac:dyDescent="0.3"/>
    <row r="32" spans="1:10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A19" xr:uid="{00000000-0009-0000-0000-000001000000}">
    <filterColumn colId="0">
      <customFilters>
        <customFilter operator="notEqual" val=" "/>
      </customFilters>
    </filterColumn>
  </autoFilter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" ht="14.25" customHeight="1" x14ac:dyDescent="0.3">
      <c r="A1" s="6" t="s">
        <v>50</v>
      </c>
    </row>
    <row r="2" spans="1:1" ht="14.25" hidden="1" customHeight="1" x14ac:dyDescent="0.3">
      <c r="A2" s="6" t="s">
        <v>53</v>
      </c>
    </row>
    <row r="3" spans="1:1" ht="14.25" customHeight="1" x14ac:dyDescent="0.3">
      <c r="A3" s="6">
        <v>76</v>
      </c>
    </row>
    <row r="4" spans="1:1" ht="14.25" hidden="1" customHeight="1" x14ac:dyDescent="0.3">
      <c r="A4" s="6" t="s">
        <v>53</v>
      </c>
    </row>
    <row r="5" spans="1:1" ht="14.25" hidden="1" customHeight="1" x14ac:dyDescent="0.3">
      <c r="A5" s="6" t="s">
        <v>53</v>
      </c>
    </row>
    <row r="6" spans="1:1" ht="14.25" hidden="1" customHeight="1" x14ac:dyDescent="0.3">
      <c r="A6" s="6" t="s">
        <v>53</v>
      </c>
    </row>
    <row r="7" spans="1:1" ht="14.25" customHeight="1" x14ac:dyDescent="0.3">
      <c r="A7" s="6">
        <v>14</v>
      </c>
    </row>
    <row r="8" spans="1:1" ht="14.25" hidden="1" customHeight="1" x14ac:dyDescent="0.3">
      <c r="A8" s="6" t="s">
        <v>53</v>
      </c>
    </row>
    <row r="9" spans="1:1" ht="14.25" customHeight="1" x14ac:dyDescent="0.3">
      <c r="A9" s="6">
        <v>21</v>
      </c>
    </row>
    <row r="10" spans="1:1" ht="14.25" customHeight="1" x14ac:dyDescent="0.3">
      <c r="A10" s="6">
        <v>64</v>
      </c>
    </row>
    <row r="11" spans="1:1" ht="14.25" hidden="1" customHeight="1" x14ac:dyDescent="0.3">
      <c r="A11" s="6" t="s">
        <v>53</v>
      </c>
    </row>
    <row r="12" spans="1:1" ht="14.25" hidden="1" customHeight="1" x14ac:dyDescent="0.3">
      <c r="A12" s="6" t="s">
        <v>53</v>
      </c>
    </row>
    <row r="13" spans="1:1" ht="14.25" customHeight="1" x14ac:dyDescent="0.3">
      <c r="A13" s="6">
        <v>0</v>
      </c>
    </row>
    <row r="14" spans="1:1" ht="14.25" customHeight="1" x14ac:dyDescent="0.3">
      <c r="A14" s="6">
        <v>9</v>
      </c>
    </row>
    <row r="15" spans="1:1" ht="14.25" hidden="1" customHeight="1" x14ac:dyDescent="0.3">
      <c r="A15" s="6" t="s">
        <v>53</v>
      </c>
    </row>
    <row r="16" spans="1:1" ht="14.25" customHeight="1" x14ac:dyDescent="0.3">
      <c r="A16" s="6">
        <v>3</v>
      </c>
    </row>
    <row r="17" spans="1:1" ht="14.25" hidden="1" customHeight="1" x14ac:dyDescent="0.3">
      <c r="A17" s="6" t="s">
        <v>53</v>
      </c>
    </row>
    <row r="18" spans="1:1" ht="14.25" hidden="1" customHeight="1" x14ac:dyDescent="0.3">
      <c r="A18" s="6" t="s">
        <v>53</v>
      </c>
    </row>
    <row r="19" spans="1:1" ht="14.25" customHeight="1" x14ac:dyDescent="0.3">
      <c r="A19" s="6">
        <v>13</v>
      </c>
    </row>
    <row r="20" spans="1:1" ht="14.25" customHeight="1" x14ac:dyDescent="0.3"/>
    <row r="21" spans="1:1" ht="14.25" customHeight="1" x14ac:dyDescent="0.3"/>
    <row r="22" spans="1:1" ht="14.25" customHeight="1" x14ac:dyDescent="0.3"/>
    <row r="23" spans="1:1" ht="14.25" customHeight="1" x14ac:dyDescent="0.3"/>
    <row r="24" spans="1:1" ht="14.25" customHeight="1" x14ac:dyDescent="0.3"/>
    <row r="25" spans="1:1" ht="14.25" customHeight="1" x14ac:dyDescent="0.3"/>
    <row r="26" spans="1:1" ht="14.25" customHeight="1" x14ac:dyDescent="0.3"/>
    <row r="27" spans="1:1" ht="14.25" customHeight="1" x14ac:dyDescent="0.3"/>
    <row r="28" spans="1:1" ht="14.25" customHeight="1" x14ac:dyDescent="0.3"/>
    <row r="29" spans="1:1" ht="14.25" customHeight="1" x14ac:dyDescent="0.3"/>
    <row r="30" spans="1:1" ht="14.25" customHeight="1" x14ac:dyDescent="0.3"/>
    <row r="31" spans="1:1" ht="14.25" customHeight="1" x14ac:dyDescent="0.3"/>
    <row r="32" spans="1: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A19" xr:uid="{00000000-0009-0000-0000-000002000000}">
    <filterColumn colId="0">
      <customFilters>
        <customFilter operator="notEqual" val=" "/>
      </customFilters>
    </filterColumn>
  </autoFilter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BBA8-4015-4F19-A423-F1F6FEF227B0}">
  <dimension ref="A1:O38"/>
  <sheetViews>
    <sheetView zoomScale="67" zoomScaleNormal="67" workbookViewId="0">
      <selection activeCell="D32" sqref="D32"/>
    </sheetView>
  </sheetViews>
  <sheetFormatPr defaultRowHeight="14.4" x14ac:dyDescent="0.3"/>
  <cols>
    <col min="12" max="12" width="25.21875" bestFit="1" customWidth="1"/>
    <col min="13" max="13" width="26.6640625" bestFit="1" customWidth="1"/>
    <col min="14" max="15" width="25.77734375" bestFit="1" customWidth="1"/>
  </cols>
  <sheetData>
    <row r="1" spans="1:15" x14ac:dyDescent="0.3">
      <c r="A1" s="1" t="s">
        <v>40</v>
      </c>
      <c r="B1" s="1" t="s">
        <v>237</v>
      </c>
      <c r="C1" s="1" t="s">
        <v>238</v>
      </c>
      <c r="D1" s="1" t="s">
        <v>242</v>
      </c>
      <c r="E1" s="1" t="s">
        <v>240</v>
      </c>
      <c r="F1" s="1" t="s">
        <v>243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236</v>
      </c>
      <c r="L1" s="1" t="s">
        <v>244</v>
      </c>
      <c r="M1" s="1" t="s">
        <v>244</v>
      </c>
      <c r="N1" s="1" t="s">
        <v>245</v>
      </c>
      <c r="O1" s="1" t="s">
        <v>245</v>
      </c>
    </row>
    <row r="2" spans="1:15" x14ac:dyDescent="0.3">
      <c r="A2" s="7" t="s">
        <v>56</v>
      </c>
      <c r="B2" s="6">
        <v>31</v>
      </c>
      <c r="C2" s="6">
        <v>76</v>
      </c>
      <c r="D2" s="6">
        <v>56</v>
      </c>
      <c r="E2" s="6">
        <v>73</v>
      </c>
      <c r="F2" s="6">
        <v>65</v>
      </c>
      <c r="G2" s="3">
        <v>35</v>
      </c>
      <c r="H2" s="3">
        <v>72</v>
      </c>
      <c r="I2" s="3">
        <v>58</v>
      </c>
      <c r="J2" s="3">
        <v>74</v>
      </c>
      <c r="K2" s="3">
        <v>62</v>
      </c>
      <c r="L2" s="7" t="s">
        <v>62</v>
      </c>
      <c r="M2" s="19">
        <v>1</v>
      </c>
      <c r="N2" s="4" t="s">
        <v>58</v>
      </c>
      <c r="O2" s="19">
        <v>2</v>
      </c>
    </row>
    <row r="3" spans="1:15" x14ac:dyDescent="0.3">
      <c r="A3" s="7" t="s">
        <v>65</v>
      </c>
      <c r="B3" s="6">
        <v>39</v>
      </c>
      <c r="C3" s="6">
        <v>14</v>
      </c>
      <c r="D3" s="6">
        <v>60</v>
      </c>
      <c r="E3" s="6">
        <v>25</v>
      </c>
      <c r="F3" s="6">
        <v>5</v>
      </c>
      <c r="G3" s="3">
        <v>10</v>
      </c>
      <c r="H3" s="3">
        <v>46</v>
      </c>
      <c r="I3" s="3">
        <v>78</v>
      </c>
      <c r="J3" s="3">
        <v>68</v>
      </c>
      <c r="K3" s="3">
        <v>12</v>
      </c>
      <c r="L3" s="7" t="s">
        <v>69</v>
      </c>
      <c r="M3" s="19">
        <v>1</v>
      </c>
      <c r="N3" s="4" t="s">
        <v>66</v>
      </c>
      <c r="O3" s="19">
        <v>2</v>
      </c>
    </row>
    <row r="4" spans="1:15" ht="28.8" x14ac:dyDescent="0.3">
      <c r="A4" s="7" t="s">
        <v>76</v>
      </c>
      <c r="B4" s="6">
        <v>34</v>
      </c>
      <c r="C4" s="6">
        <v>21</v>
      </c>
      <c r="D4" s="6">
        <v>21</v>
      </c>
      <c r="E4" s="6">
        <v>40</v>
      </c>
      <c r="F4" s="6">
        <v>18</v>
      </c>
      <c r="G4" s="3">
        <v>10</v>
      </c>
      <c r="H4" s="3">
        <v>8</v>
      </c>
      <c r="I4" s="3">
        <v>3</v>
      </c>
      <c r="J4" s="3">
        <v>25</v>
      </c>
      <c r="K4" s="3">
        <v>16</v>
      </c>
      <c r="L4" s="7" t="s">
        <v>77</v>
      </c>
      <c r="M4" s="19">
        <v>2</v>
      </c>
      <c r="N4" s="4" t="s">
        <v>73</v>
      </c>
      <c r="O4" s="19">
        <v>2</v>
      </c>
    </row>
    <row r="5" spans="1:15" ht="43.2" x14ac:dyDescent="0.3">
      <c r="A5" s="7" t="s">
        <v>80</v>
      </c>
      <c r="B5" s="6">
        <v>44</v>
      </c>
      <c r="C5" s="6">
        <v>64</v>
      </c>
      <c r="D5" s="6">
        <v>50</v>
      </c>
      <c r="E5" s="6">
        <v>24</v>
      </c>
      <c r="F5" s="6">
        <v>35</v>
      </c>
      <c r="G5" s="3">
        <v>16</v>
      </c>
      <c r="H5" s="3">
        <v>53</v>
      </c>
      <c r="I5" s="3">
        <v>67</v>
      </c>
      <c r="J5" s="3">
        <v>58</v>
      </c>
      <c r="K5" s="3">
        <v>22</v>
      </c>
      <c r="L5" s="7" t="s">
        <v>81</v>
      </c>
      <c r="M5" s="19">
        <v>2</v>
      </c>
      <c r="N5" s="4" t="s">
        <v>84</v>
      </c>
      <c r="O5" s="19">
        <v>1</v>
      </c>
    </row>
    <row r="6" spans="1:15" x14ac:dyDescent="0.3">
      <c r="A6" s="7" t="s">
        <v>87</v>
      </c>
      <c r="B6" s="6">
        <v>1</v>
      </c>
      <c r="C6" s="6">
        <v>0</v>
      </c>
      <c r="D6" s="6">
        <v>3</v>
      </c>
      <c r="E6" s="6">
        <v>0</v>
      </c>
      <c r="F6" s="6">
        <v>0</v>
      </c>
      <c r="G6" s="3">
        <v>15</v>
      </c>
      <c r="H6" s="3">
        <v>0</v>
      </c>
      <c r="I6" s="3">
        <v>9</v>
      </c>
      <c r="J6" s="3">
        <v>0</v>
      </c>
      <c r="K6" s="3">
        <v>0</v>
      </c>
      <c r="L6" s="7" t="s">
        <v>91</v>
      </c>
      <c r="M6" s="19">
        <v>0</v>
      </c>
      <c r="N6" s="4" t="s">
        <v>88</v>
      </c>
      <c r="O6" s="19">
        <v>0</v>
      </c>
    </row>
    <row r="7" spans="1:15" ht="28.8" x14ac:dyDescent="0.3">
      <c r="A7" s="7" t="s">
        <v>94</v>
      </c>
      <c r="B7" s="6">
        <v>9</v>
      </c>
      <c r="C7" s="6">
        <v>9</v>
      </c>
      <c r="D7" s="6">
        <v>8</v>
      </c>
      <c r="E7" s="6">
        <v>21</v>
      </c>
      <c r="F7" s="6">
        <v>4</v>
      </c>
      <c r="G7" s="3">
        <v>21</v>
      </c>
      <c r="H7" s="3">
        <v>31</v>
      </c>
      <c r="I7" s="3">
        <v>29</v>
      </c>
      <c r="J7" s="3">
        <v>32</v>
      </c>
      <c r="K7" s="3">
        <v>24</v>
      </c>
      <c r="L7" s="7" t="s">
        <v>95</v>
      </c>
      <c r="M7" s="19">
        <v>1</v>
      </c>
      <c r="N7" s="4" t="s">
        <v>98</v>
      </c>
      <c r="O7" s="19">
        <v>2</v>
      </c>
    </row>
    <row r="8" spans="1:15" ht="28.8" x14ac:dyDescent="0.3">
      <c r="A8" s="7" t="s">
        <v>101</v>
      </c>
      <c r="B8" s="6">
        <v>39</v>
      </c>
      <c r="C8" s="6">
        <v>3</v>
      </c>
      <c r="D8" s="6">
        <v>50</v>
      </c>
      <c r="E8" s="6">
        <v>1</v>
      </c>
      <c r="F8" s="6">
        <v>1</v>
      </c>
      <c r="G8" s="3">
        <v>5</v>
      </c>
      <c r="H8" s="3">
        <v>1</v>
      </c>
      <c r="I8" s="3">
        <v>69</v>
      </c>
      <c r="J8" s="3">
        <v>3</v>
      </c>
      <c r="K8" s="3">
        <v>2</v>
      </c>
      <c r="L8" s="7" t="s">
        <v>102</v>
      </c>
      <c r="M8" s="19">
        <v>2</v>
      </c>
      <c r="N8" s="4" t="s">
        <v>105</v>
      </c>
      <c r="O8" s="19">
        <v>2</v>
      </c>
    </row>
    <row r="9" spans="1:15" ht="28.8" x14ac:dyDescent="0.3">
      <c r="A9" s="7" t="s">
        <v>108</v>
      </c>
      <c r="B9" s="6">
        <v>31</v>
      </c>
      <c r="C9" s="6">
        <v>13</v>
      </c>
      <c r="D9" s="6">
        <v>66</v>
      </c>
      <c r="E9" s="6">
        <v>5</v>
      </c>
      <c r="F9" s="6">
        <v>2</v>
      </c>
      <c r="G9" s="3">
        <v>51</v>
      </c>
      <c r="H9" s="3">
        <v>8</v>
      </c>
      <c r="I9" s="3">
        <v>34</v>
      </c>
      <c r="J9" s="3">
        <v>6</v>
      </c>
      <c r="K9" s="3">
        <v>2</v>
      </c>
      <c r="L9" s="7" t="s">
        <v>112</v>
      </c>
      <c r="M9" s="19">
        <v>1</v>
      </c>
      <c r="N9" s="4" t="s">
        <v>109</v>
      </c>
      <c r="O9" s="19">
        <v>1</v>
      </c>
    </row>
    <row r="10" spans="1:15" x14ac:dyDescent="0.3">
      <c r="A10" s="7" t="s">
        <v>115</v>
      </c>
      <c r="B10" s="6">
        <v>77</v>
      </c>
      <c r="C10" s="6">
        <v>4</v>
      </c>
      <c r="D10" s="6">
        <v>19</v>
      </c>
      <c r="E10" s="6">
        <v>9</v>
      </c>
      <c r="F10" s="6">
        <v>2</v>
      </c>
      <c r="G10" s="3">
        <v>1</v>
      </c>
      <c r="H10" s="3">
        <v>8</v>
      </c>
      <c r="I10" s="3">
        <v>83</v>
      </c>
      <c r="J10" s="3">
        <v>16</v>
      </c>
      <c r="K10" s="3">
        <v>1</v>
      </c>
      <c r="L10" s="7" t="s">
        <v>116</v>
      </c>
      <c r="M10" s="19">
        <v>1</v>
      </c>
      <c r="N10" s="4" t="s">
        <v>119</v>
      </c>
      <c r="O10" s="19">
        <v>1</v>
      </c>
    </row>
    <row r="11" spans="1:15" x14ac:dyDescent="0.3">
      <c r="A11" s="7" t="s">
        <v>122</v>
      </c>
      <c r="B11" s="6">
        <v>61</v>
      </c>
      <c r="C11" s="6">
        <v>0</v>
      </c>
      <c r="D11" s="6">
        <v>33</v>
      </c>
      <c r="E11" s="6">
        <v>0</v>
      </c>
      <c r="F11" s="6">
        <v>0</v>
      </c>
      <c r="G11" s="3">
        <v>36</v>
      </c>
      <c r="H11" s="3">
        <v>0</v>
      </c>
      <c r="I11" s="3">
        <v>14</v>
      </c>
      <c r="J11" s="3">
        <v>0</v>
      </c>
      <c r="K11" s="3">
        <v>0</v>
      </c>
      <c r="L11" s="7" t="s">
        <v>125</v>
      </c>
      <c r="M11" s="19">
        <v>1</v>
      </c>
      <c r="N11" s="4" t="s">
        <v>116</v>
      </c>
      <c r="O11" s="19">
        <v>1</v>
      </c>
    </row>
    <row r="12" spans="1:15" x14ac:dyDescent="0.3">
      <c r="A12" s="7" t="s">
        <v>132</v>
      </c>
      <c r="B12" s="8">
        <v>0</v>
      </c>
      <c r="C12" s="8">
        <v>0</v>
      </c>
      <c r="D12" s="8">
        <v>27</v>
      </c>
      <c r="E12" s="8">
        <v>0</v>
      </c>
      <c r="F12" s="8">
        <v>0</v>
      </c>
      <c r="G12" s="3">
        <v>94</v>
      </c>
      <c r="H12" s="3">
        <v>94</v>
      </c>
      <c r="I12" s="3">
        <v>100</v>
      </c>
      <c r="J12" s="3">
        <v>6</v>
      </c>
      <c r="K12" s="3">
        <v>1</v>
      </c>
      <c r="L12" s="7" t="s">
        <v>133</v>
      </c>
      <c r="M12" s="19">
        <v>1</v>
      </c>
      <c r="N12" s="4" t="s">
        <v>129</v>
      </c>
      <c r="O12" s="19">
        <v>0</v>
      </c>
    </row>
    <row r="13" spans="1:15" x14ac:dyDescent="0.3">
      <c r="A13" s="9" t="s">
        <v>136</v>
      </c>
      <c r="B13" s="6">
        <v>100</v>
      </c>
      <c r="C13" s="6">
        <v>97</v>
      </c>
      <c r="D13" s="6">
        <v>100</v>
      </c>
      <c r="E13" s="6">
        <v>50</v>
      </c>
      <c r="F13" s="6">
        <v>0</v>
      </c>
      <c r="G13" s="3">
        <v>2</v>
      </c>
      <c r="H13" s="3">
        <v>0</v>
      </c>
      <c r="I13" s="3">
        <v>32</v>
      </c>
      <c r="J13" s="3">
        <v>0</v>
      </c>
      <c r="K13" s="3">
        <v>0</v>
      </c>
      <c r="L13" s="7" t="s">
        <v>91</v>
      </c>
      <c r="M13" s="19">
        <v>0</v>
      </c>
      <c r="N13" s="4" t="s">
        <v>140</v>
      </c>
      <c r="O13" s="19">
        <v>1</v>
      </c>
    </row>
    <row r="14" spans="1:15" ht="43.2" x14ac:dyDescent="0.3">
      <c r="A14" s="7" t="s">
        <v>143</v>
      </c>
      <c r="B14" s="6">
        <v>35</v>
      </c>
      <c r="C14" s="6">
        <v>9</v>
      </c>
      <c r="D14" s="6">
        <v>4</v>
      </c>
      <c r="E14" s="6">
        <v>8</v>
      </c>
      <c r="F14" s="6">
        <v>15</v>
      </c>
      <c r="G14" s="3">
        <v>12</v>
      </c>
      <c r="H14" s="3">
        <v>4</v>
      </c>
      <c r="I14" s="3">
        <v>24</v>
      </c>
      <c r="J14" s="3">
        <v>5</v>
      </c>
      <c r="K14" s="3">
        <v>5</v>
      </c>
      <c r="L14" s="7" t="s">
        <v>125</v>
      </c>
      <c r="M14" s="19">
        <v>1</v>
      </c>
      <c r="N14" s="4" t="s">
        <v>145</v>
      </c>
      <c r="O14" s="19">
        <v>1</v>
      </c>
    </row>
    <row r="15" spans="1:15" x14ac:dyDescent="0.3">
      <c r="A15" s="7" t="s">
        <v>147</v>
      </c>
      <c r="B15" s="8">
        <v>49</v>
      </c>
      <c r="C15" s="8">
        <v>13</v>
      </c>
      <c r="D15" s="8">
        <v>49</v>
      </c>
      <c r="E15" s="8">
        <v>14</v>
      </c>
      <c r="F15" s="8">
        <v>5</v>
      </c>
      <c r="G15" s="3">
        <v>6</v>
      </c>
      <c r="H15" s="3">
        <v>13</v>
      </c>
      <c r="I15" s="3">
        <v>26</v>
      </c>
      <c r="J15" s="3">
        <v>15</v>
      </c>
      <c r="K15" s="3">
        <v>6</v>
      </c>
      <c r="L15" s="7" t="s">
        <v>150</v>
      </c>
      <c r="M15" s="19">
        <v>1</v>
      </c>
      <c r="N15" s="4" t="s">
        <v>148</v>
      </c>
      <c r="O15" s="19">
        <v>1</v>
      </c>
    </row>
    <row r="16" spans="1:15" x14ac:dyDescent="0.3">
      <c r="A16" s="7" t="s">
        <v>153</v>
      </c>
      <c r="B16" s="8">
        <v>49</v>
      </c>
      <c r="C16" s="8">
        <v>23</v>
      </c>
      <c r="D16" s="8">
        <v>42</v>
      </c>
      <c r="E16" s="8">
        <v>29</v>
      </c>
      <c r="F16" s="8">
        <v>9</v>
      </c>
      <c r="G16" s="3">
        <v>0</v>
      </c>
      <c r="H16" s="3">
        <v>9</v>
      </c>
      <c r="I16" s="3">
        <v>61</v>
      </c>
      <c r="J16" s="3">
        <v>8</v>
      </c>
      <c r="K16" s="3">
        <v>0</v>
      </c>
      <c r="L16" s="7" t="s">
        <v>154</v>
      </c>
      <c r="M16" s="19">
        <v>1</v>
      </c>
      <c r="N16" s="4" t="s">
        <v>157</v>
      </c>
      <c r="O16" s="19">
        <v>1</v>
      </c>
    </row>
    <row r="17" spans="1:15" ht="28.8" x14ac:dyDescent="0.3">
      <c r="A17" s="7" t="s">
        <v>160</v>
      </c>
      <c r="B17" s="8">
        <v>58</v>
      </c>
      <c r="C17" s="8">
        <v>4</v>
      </c>
      <c r="D17" s="8">
        <v>9</v>
      </c>
      <c r="E17" s="8">
        <v>1</v>
      </c>
      <c r="F17" s="8">
        <v>1</v>
      </c>
      <c r="G17" s="3">
        <v>36</v>
      </c>
      <c r="H17" s="3">
        <v>6</v>
      </c>
      <c r="I17" s="3">
        <v>7</v>
      </c>
      <c r="J17" s="3">
        <v>5</v>
      </c>
      <c r="K17" s="3">
        <v>0</v>
      </c>
      <c r="L17" s="7" t="s">
        <v>164</v>
      </c>
      <c r="M17" s="19">
        <v>1</v>
      </c>
      <c r="N17" s="4" t="s">
        <v>161</v>
      </c>
      <c r="O17" s="19">
        <v>1</v>
      </c>
    </row>
    <row r="18" spans="1:15" x14ac:dyDescent="0.3">
      <c r="A18" s="7" t="s">
        <v>167</v>
      </c>
      <c r="B18" s="8">
        <v>6</v>
      </c>
      <c r="C18" s="8">
        <v>8</v>
      </c>
      <c r="D18" s="8">
        <v>6</v>
      </c>
      <c r="E18" s="8">
        <v>8</v>
      </c>
      <c r="F18" s="8">
        <v>0</v>
      </c>
      <c r="G18" s="3">
        <v>26</v>
      </c>
      <c r="H18" s="3">
        <v>0</v>
      </c>
      <c r="I18" s="3">
        <v>16</v>
      </c>
      <c r="J18" s="3">
        <v>0</v>
      </c>
      <c r="K18" s="3">
        <v>0</v>
      </c>
      <c r="L18" s="7" t="s">
        <v>168</v>
      </c>
      <c r="M18" s="19">
        <v>1</v>
      </c>
      <c r="N18" s="4" t="s">
        <v>168</v>
      </c>
      <c r="O18" s="19">
        <v>1</v>
      </c>
    </row>
    <row r="19" spans="1:15" x14ac:dyDescent="0.3">
      <c r="A19" s="14" t="s">
        <v>188</v>
      </c>
      <c r="B19" s="13">
        <v>1</v>
      </c>
      <c r="C19" s="13">
        <v>48</v>
      </c>
      <c r="D19" s="13">
        <v>78</v>
      </c>
      <c r="E19" s="13">
        <v>45</v>
      </c>
      <c r="F19" s="13">
        <v>30</v>
      </c>
      <c r="G19" s="16">
        <v>47</v>
      </c>
      <c r="H19" s="16">
        <v>14</v>
      </c>
      <c r="I19" s="16">
        <v>14</v>
      </c>
      <c r="J19" s="16">
        <v>19</v>
      </c>
      <c r="K19" s="16">
        <v>9</v>
      </c>
      <c r="L19" s="14" t="s">
        <v>192</v>
      </c>
      <c r="M19" s="19">
        <v>2</v>
      </c>
      <c r="N19" s="17" t="s">
        <v>189</v>
      </c>
      <c r="O19" s="19">
        <v>1</v>
      </c>
    </row>
    <row r="20" spans="1:15" ht="28.8" x14ac:dyDescent="0.3">
      <c r="A20" s="14" t="s">
        <v>196</v>
      </c>
      <c r="B20" s="13">
        <v>16</v>
      </c>
      <c r="C20" s="13">
        <v>7</v>
      </c>
      <c r="D20" s="13">
        <v>1</v>
      </c>
      <c r="E20" s="13">
        <v>2</v>
      </c>
      <c r="F20" s="13">
        <v>0</v>
      </c>
      <c r="G20" s="16">
        <v>39</v>
      </c>
      <c r="H20" s="16">
        <v>10</v>
      </c>
      <c r="I20" s="16">
        <v>30</v>
      </c>
      <c r="J20" s="16">
        <v>17</v>
      </c>
      <c r="K20" s="16">
        <v>1</v>
      </c>
      <c r="L20" s="14" t="s">
        <v>197</v>
      </c>
      <c r="M20" s="19">
        <v>2</v>
      </c>
      <c r="N20" s="17" t="s">
        <v>200</v>
      </c>
      <c r="O20" s="19">
        <v>2</v>
      </c>
    </row>
    <row r="21" spans="1:15" x14ac:dyDescent="0.3">
      <c r="A21" s="14" t="s">
        <v>202</v>
      </c>
      <c r="B21" s="13">
        <v>2</v>
      </c>
      <c r="C21" s="13">
        <v>26</v>
      </c>
      <c r="D21" s="13">
        <v>48</v>
      </c>
      <c r="E21" s="13">
        <v>10</v>
      </c>
      <c r="F21" s="13">
        <v>13</v>
      </c>
      <c r="G21" s="16">
        <v>98</v>
      </c>
      <c r="H21" s="16">
        <v>13</v>
      </c>
      <c r="I21" s="16">
        <v>3</v>
      </c>
      <c r="J21" s="16">
        <v>0</v>
      </c>
      <c r="K21" s="16">
        <v>2</v>
      </c>
      <c r="L21" s="14" t="s">
        <v>205</v>
      </c>
      <c r="M21" s="19">
        <v>1</v>
      </c>
      <c r="N21" s="17" t="s">
        <v>203</v>
      </c>
      <c r="O21" s="19">
        <v>0</v>
      </c>
    </row>
    <row r="22" spans="1:15" ht="28.8" x14ac:dyDescent="0.3">
      <c r="A22" s="14" t="s">
        <v>208</v>
      </c>
      <c r="B22" s="13">
        <v>3</v>
      </c>
      <c r="C22" s="13">
        <v>9</v>
      </c>
      <c r="D22" s="13">
        <v>3</v>
      </c>
      <c r="E22" s="13">
        <v>5</v>
      </c>
      <c r="F22" s="13">
        <v>3</v>
      </c>
      <c r="G22" s="16">
        <v>16</v>
      </c>
      <c r="H22" s="16">
        <v>7</v>
      </c>
      <c r="I22" s="16">
        <v>23</v>
      </c>
      <c r="J22" s="16">
        <v>10</v>
      </c>
      <c r="K22" s="16">
        <v>3</v>
      </c>
      <c r="L22" s="14" t="s">
        <v>209</v>
      </c>
      <c r="M22" s="19">
        <v>1</v>
      </c>
      <c r="N22" s="17" t="s">
        <v>211</v>
      </c>
      <c r="O22" s="19">
        <v>1</v>
      </c>
    </row>
    <row r="23" spans="1:15" x14ac:dyDescent="0.3">
      <c r="A23" s="14" t="s">
        <v>214</v>
      </c>
      <c r="B23" s="13">
        <v>62</v>
      </c>
      <c r="C23" s="13">
        <v>11</v>
      </c>
      <c r="D23" s="13">
        <v>48</v>
      </c>
      <c r="E23" s="13">
        <v>24</v>
      </c>
      <c r="F23" s="13">
        <v>10</v>
      </c>
      <c r="G23" s="16">
        <v>34</v>
      </c>
      <c r="H23" s="16">
        <v>2</v>
      </c>
      <c r="I23" s="16">
        <v>27</v>
      </c>
      <c r="J23" s="16">
        <v>11</v>
      </c>
      <c r="K23" s="16">
        <v>5</v>
      </c>
      <c r="L23" s="14" t="s">
        <v>215</v>
      </c>
      <c r="M23" s="19">
        <v>1</v>
      </c>
      <c r="N23" s="17" t="s">
        <v>215</v>
      </c>
      <c r="O23" s="19">
        <v>1</v>
      </c>
    </row>
    <row r="24" spans="1:15" x14ac:dyDescent="0.3">
      <c r="A24" s="14" t="s">
        <v>220</v>
      </c>
      <c r="B24" s="13">
        <v>9</v>
      </c>
      <c r="C24" s="13">
        <v>33</v>
      </c>
      <c r="D24" s="13">
        <v>5</v>
      </c>
      <c r="E24" s="13">
        <v>44</v>
      </c>
      <c r="F24" s="13">
        <v>18</v>
      </c>
      <c r="G24" s="16">
        <v>15</v>
      </c>
      <c r="H24" s="16">
        <v>3</v>
      </c>
      <c r="I24" s="16">
        <v>1</v>
      </c>
      <c r="J24" s="16">
        <v>1</v>
      </c>
      <c r="K24" s="16">
        <v>1</v>
      </c>
      <c r="L24" s="14" t="s">
        <v>221</v>
      </c>
      <c r="M24" s="19">
        <v>2</v>
      </c>
      <c r="N24" s="17" t="s">
        <v>224</v>
      </c>
      <c r="O24" s="19">
        <v>0</v>
      </c>
    </row>
    <row r="25" spans="1:15" x14ac:dyDescent="0.3">
      <c r="A25" s="14" t="s">
        <v>227</v>
      </c>
      <c r="B25" s="13">
        <v>29</v>
      </c>
      <c r="C25" s="13">
        <v>5</v>
      </c>
      <c r="D25" s="13">
        <v>23</v>
      </c>
      <c r="E25" s="13">
        <v>5</v>
      </c>
      <c r="F25" s="13">
        <v>5</v>
      </c>
      <c r="G25" s="16">
        <v>36</v>
      </c>
      <c r="H25" s="16">
        <v>2</v>
      </c>
      <c r="I25" s="16">
        <v>6</v>
      </c>
      <c r="J25" s="16">
        <v>0</v>
      </c>
      <c r="K25" s="16">
        <v>0</v>
      </c>
      <c r="L25" s="14" t="s">
        <v>125</v>
      </c>
      <c r="M25" s="19">
        <v>1</v>
      </c>
      <c r="N25" s="17" t="s">
        <v>228</v>
      </c>
      <c r="O25" s="19">
        <v>1</v>
      </c>
    </row>
    <row r="26" spans="1:15" ht="28.8" x14ac:dyDescent="0.3">
      <c r="A26" s="14" t="s">
        <v>248</v>
      </c>
      <c r="B26" s="24">
        <v>9</v>
      </c>
      <c r="C26" s="24">
        <v>6</v>
      </c>
      <c r="D26" s="24">
        <v>13</v>
      </c>
      <c r="E26" s="24">
        <v>2</v>
      </c>
      <c r="F26" s="24">
        <v>2</v>
      </c>
      <c r="G26" s="24">
        <v>22</v>
      </c>
      <c r="H26" s="24">
        <v>6</v>
      </c>
      <c r="I26" s="24">
        <v>32</v>
      </c>
      <c r="J26" s="24">
        <v>21</v>
      </c>
      <c r="K26" s="24">
        <v>3</v>
      </c>
      <c r="L26" s="19"/>
      <c r="M26" s="22" t="s">
        <v>252</v>
      </c>
      <c r="N26" s="19"/>
    </row>
    <row r="27" spans="1:15" x14ac:dyDescent="0.3">
      <c r="A27" s="14" t="s">
        <v>255</v>
      </c>
      <c r="B27" s="24">
        <v>6</v>
      </c>
      <c r="C27" s="24">
        <v>11</v>
      </c>
      <c r="D27" s="24">
        <v>4</v>
      </c>
      <c r="E27" s="24">
        <v>11</v>
      </c>
      <c r="F27" s="24">
        <v>21</v>
      </c>
      <c r="G27" s="24">
        <v>15</v>
      </c>
      <c r="H27" s="24">
        <v>6</v>
      </c>
      <c r="I27" s="24">
        <v>19</v>
      </c>
      <c r="J27" s="24">
        <v>25</v>
      </c>
      <c r="K27" s="24">
        <v>7</v>
      </c>
      <c r="L27" s="19"/>
      <c r="M27" s="22" t="s">
        <v>256</v>
      </c>
      <c r="N27" s="19"/>
    </row>
    <row r="28" spans="1:15" x14ac:dyDescent="0.3">
      <c r="A28" s="14" t="s">
        <v>262</v>
      </c>
      <c r="B28" s="24">
        <v>11</v>
      </c>
      <c r="C28" s="24">
        <v>21</v>
      </c>
      <c r="D28" s="24">
        <v>8</v>
      </c>
      <c r="E28" s="24">
        <v>5</v>
      </c>
      <c r="F28" s="24">
        <v>7</v>
      </c>
      <c r="G28" s="24">
        <v>30</v>
      </c>
      <c r="H28" s="24">
        <v>10</v>
      </c>
      <c r="I28" s="24">
        <v>21</v>
      </c>
      <c r="J28" s="24">
        <v>6</v>
      </c>
      <c r="K28" s="24">
        <v>10</v>
      </c>
      <c r="L28" s="19"/>
      <c r="M28" s="22" t="s">
        <v>263</v>
      </c>
      <c r="N28" s="19"/>
    </row>
    <row r="29" spans="1:15" x14ac:dyDescent="0.3">
      <c r="A29" s="14" t="s">
        <v>269</v>
      </c>
      <c r="B29" s="24">
        <v>21</v>
      </c>
      <c r="C29" s="24">
        <v>4</v>
      </c>
      <c r="D29" s="24">
        <v>31</v>
      </c>
      <c r="E29" s="24">
        <v>1</v>
      </c>
      <c r="F29" s="24">
        <v>1</v>
      </c>
      <c r="G29" s="24">
        <v>25</v>
      </c>
      <c r="H29" s="24">
        <v>10</v>
      </c>
      <c r="I29" s="24">
        <v>22</v>
      </c>
      <c r="J29" s="24">
        <v>7</v>
      </c>
      <c r="K29" s="24">
        <v>3</v>
      </c>
      <c r="L29" s="19"/>
      <c r="M29" s="22" t="s">
        <v>270</v>
      </c>
      <c r="N29" s="19"/>
    </row>
    <row r="30" spans="1:15" x14ac:dyDescent="0.3">
      <c r="A30" s="14" t="s">
        <v>274</v>
      </c>
      <c r="B30" s="24">
        <v>20</v>
      </c>
      <c r="C30" s="24">
        <v>12</v>
      </c>
      <c r="D30" s="24">
        <v>34</v>
      </c>
      <c r="E30" s="24">
        <v>19</v>
      </c>
      <c r="F30" s="24">
        <v>3</v>
      </c>
      <c r="G30" s="24">
        <v>16</v>
      </c>
      <c r="H30" s="24">
        <v>22</v>
      </c>
      <c r="I30" s="24">
        <v>43</v>
      </c>
      <c r="J30" s="24">
        <v>33</v>
      </c>
      <c r="K30" s="24">
        <v>7</v>
      </c>
      <c r="L30" s="19"/>
      <c r="M30" s="22" t="s">
        <v>275</v>
      </c>
      <c r="N30" s="19"/>
    </row>
    <row r="31" spans="1:15" x14ac:dyDescent="0.3">
      <c r="A31" s="14"/>
      <c r="G31" s="24"/>
      <c r="H31" s="24"/>
      <c r="I31" s="24"/>
      <c r="J31" s="24"/>
      <c r="K31" s="24"/>
    </row>
    <row r="32" spans="1:15" x14ac:dyDescent="0.3">
      <c r="A32" s="23"/>
      <c r="G32" s="24"/>
      <c r="H32" s="24"/>
      <c r="I32" s="24"/>
      <c r="J32" s="24"/>
      <c r="K32" s="24"/>
    </row>
    <row r="33" spans="1:12" x14ac:dyDescent="0.3">
      <c r="A33" s="23"/>
      <c r="G33" s="24"/>
      <c r="H33" s="24"/>
      <c r="I33" s="24"/>
      <c r="J33" s="24"/>
      <c r="K33" s="24"/>
    </row>
    <row r="34" spans="1:12" x14ac:dyDescent="0.3">
      <c r="L34" s="22"/>
    </row>
    <row r="35" spans="1:12" x14ac:dyDescent="0.3">
      <c r="L35" s="22"/>
    </row>
    <row r="36" spans="1:12" x14ac:dyDescent="0.3">
      <c r="L36" s="22"/>
    </row>
    <row r="37" spans="1:12" x14ac:dyDescent="0.3">
      <c r="L37" s="22"/>
    </row>
    <row r="38" spans="1:12" x14ac:dyDescent="0.3">
      <c r="L38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57AA6-D73B-4513-BE7E-629019D4357F}">
  <sheetPr filterMode="1"/>
  <dimension ref="A1:AB60"/>
  <sheetViews>
    <sheetView tabSelected="1" topLeftCell="H8" workbookViewId="0">
      <selection activeCell="T3" sqref="T3:X61"/>
    </sheetView>
  </sheetViews>
  <sheetFormatPr defaultRowHeight="14.4" x14ac:dyDescent="0.3"/>
  <sheetData>
    <row r="1" spans="1:28" x14ac:dyDescent="0.3">
      <c r="A1" t="s">
        <v>26</v>
      </c>
      <c r="B1" t="s">
        <v>27</v>
      </c>
      <c r="C1" t="s">
        <v>28</v>
      </c>
      <c r="D1" t="s">
        <v>29</v>
      </c>
      <c r="E1" t="s">
        <v>4</v>
      </c>
      <c r="F1" t="s">
        <v>5</v>
      </c>
      <c r="G1" t="s">
        <v>6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280</v>
      </c>
      <c r="T1" t="s">
        <v>172</v>
      </c>
      <c r="U1" t="s">
        <v>282</v>
      </c>
      <c r="V1" t="s">
        <v>283</v>
      </c>
      <c r="W1" t="s">
        <v>284</v>
      </c>
      <c r="X1" t="s">
        <v>285</v>
      </c>
      <c r="Y1" t="s">
        <v>47</v>
      </c>
      <c r="Z1" t="s">
        <v>48</v>
      </c>
      <c r="AA1" t="s">
        <v>49</v>
      </c>
      <c r="AB1" t="s">
        <v>50</v>
      </c>
    </row>
    <row r="2" spans="1:28" hidden="1" x14ac:dyDescent="0.3">
      <c r="A2">
        <v>45741.621493055558</v>
      </c>
      <c r="B2">
        <v>45741.640972222223</v>
      </c>
      <c r="C2">
        <v>0</v>
      </c>
      <c r="D2" t="s">
        <v>51</v>
      </c>
      <c r="E2">
        <v>100</v>
      </c>
      <c r="F2">
        <v>1683</v>
      </c>
      <c r="G2">
        <v>1</v>
      </c>
      <c r="H2">
        <v>45741.640982893521</v>
      </c>
      <c r="I2" t="s">
        <v>52</v>
      </c>
      <c r="J2" t="s">
        <v>53</v>
      </c>
      <c r="K2" t="s">
        <v>53</v>
      </c>
      <c r="L2" t="s">
        <v>53</v>
      </c>
      <c r="M2" t="s">
        <v>53</v>
      </c>
      <c r="N2">
        <v>41.890500000000003</v>
      </c>
      <c r="O2">
        <v>12.512700000000001</v>
      </c>
      <c r="P2" t="s">
        <v>54</v>
      </c>
      <c r="Q2" t="s">
        <v>55</v>
      </c>
      <c r="R2" t="s">
        <v>56</v>
      </c>
      <c r="S2" t="s">
        <v>57</v>
      </c>
      <c r="T2">
        <v>35</v>
      </c>
      <c r="U2">
        <v>72</v>
      </c>
      <c r="V2">
        <v>58</v>
      </c>
      <c r="W2">
        <v>74</v>
      </c>
      <c r="X2">
        <v>62</v>
      </c>
      <c r="Y2" t="s">
        <v>58</v>
      </c>
      <c r="Z2" t="s">
        <v>59</v>
      </c>
      <c r="AA2">
        <v>72</v>
      </c>
      <c r="AB2" t="s">
        <v>53</v>
      </c>
    </row>
    <row r="3" spans="1:28" x14ac:dyDescent="0.3">
      <c r="A3">
        <v>45741.651724537034</v>
      </c>
      <c r="B3">
        <v>45741.652557870373</v>
      </c>
      <c r="C3">
        <v>0</v>
      </c>
      <c r="D3" t="s">
        <v>51</v>
      </c>
      <c r="E3">
        <v>100</v>
      </c>
      <c r="F3">
        <v>72</v>
      </c>
      <c r="G3">
        <v>1</v>
      </c>
      <c r="H3">
        <v>45741.652572604165</v>
      </c>
      <c r="I3" t="s">
        <v>60</v>
      </c>
      <c r="J3" t="s">
        <v>53</v>
      </c>
      <c r="K3" t="s">
        <v>53</v>
      </c>
      <c r="L3" t="s">
        <v>53</v>
      </c>
      <c r="M3" t="s">
        <v>53</v>
      </c>
      <c r="N3">
        <v>41.890500000000003</v>
      </c>
      <c r="O3">
        <v>12.512700000000001</v>
      </c>
      <c r="P3" t="s">
        <v>54</v>
      </c>
      <c r="Q3" t="s">
        <v>55</v>
      </c>
      <c r="R3" t="s">
        <v>56</v>
      </c>
      <c r="S3" t="s">
        <v>61</v>
      </c>
      <c r="T3">
        <v>31</v>
      </c>
      <c r="U3">
        <v>76</v>
      </c>
      <c r="V3">
        <v>56</v>
      </c>
      <c r="W3">
        <v>73</v>
      </c>
      <c r="X3">
        <v>65</v>
      </c>
      <c r="Y3" t="s">
        <v>62</v>
      </c>
      <c r="Z3" t="s">
        <v>63</v>
      </c>
      <c r="AA3" t="s">
        <v>53</v>
      </c>
      <c r="AB3">
        <v>76</v>
      </c>
    </row>
    <row r="4" spans="1:28" hidden="1" x14ac:dyDescent="0.3">
      <c r="A4">
        <v>45741.674224537041</v>
      </c>
      <c r="B4">
        <v>45741.677581018521</v>
      </c>
      <c r="C4">
        <v>0</v>
      </c>
      <c r="D4" t="s">
        <v>51</v>
      </c>
      <c r="E4">
        <v>100</v>
      </c>
      <c r="F4">
        <v>289</v>
      </c>
      <c r="G4">
        <v>1</v>
      </c>
      <c r="H4">
        <v>45741.67760427083</v>
      </c>
      <c r="I4" t="s">
        <v>64</v>
      </c>
      <c r="J4" t="s">
        <v>53</v>
      </c>
      <c r="K4" t="s">
        <v>53</v>
      </c>
      <c r="L4" t="s">
        <v>53</v>
      </c>
      <c r="M4" t="s">
        <v>53</v>
      </c>
      <c r="N4">
        <v>41.890500000000003</v>
      </c>
      <c r="O4">
        <v>12.512700000000001</v>
      </c>
      <c r="P4" t="s">
        <v>54</v>
      </c>
      <c r="Q4" t="s">
        <v>55</v>
      </c>
      <c r="R4" t="s">
        <v>65</v>
      </c>
      <c r="S4" t="s">
        <v>57</v>
      </c>
      <c r="T4">
        <v>10</v>
      </c>
      <c r="U4">
        <v>46</v>
      </c>
      <c r="V4">
        <v>78</v>
      </c>
      <c r="W4">
        <v>68</v>
      </c>
      <c r="X4">
        <v>12</v>
      </c>
      <c r="Y4" t="s">
        <v>66</v>
      </c>
      <c r="Z4" t="s">
        <v>67</v>
      </c>
      <c r="AA4">
        <v>46</v>
      </c>
      <c r="AB4" t="s">
        <v>53</v>
      </c>
    </row>
    <row r="5" spans="1:28" x14ac:dyDescent="0.3">
      <c r="A5">
        <v>45741.684942129628</v>
      </c>
      <c r="B5">
        <v>45741.689444444448</v>
      </c>
      <c r="C5">
        <v>0</v>
      </c>
      <c r="D5" t="s">
        <v>51</v>
      </c>
      <c r="E5">
        <v>100</v>
      </c>
      <c r="F5">
        <v>389</v>
      </c>
      <c r="G5">
        <v>1</v>
      </c>
      <c r="H5">
        <v>45741.689456030093</v>
      </c>
      <c r="I5" t="s">
        <v>68</v>
      </c>
      <c r="J5" t="s">
        <v>53</v>
      </c>
      <c r="K5" t="s">
        <v>53</v>
      </c>
      <c r="L5" t="s">
        <v>53</v>
      </c>
      <c r="M5" t="s">
        <v>53</v>
      </c>
      <c r="N5">
        <v>41.890500000000003</v>
      </c>
      <c r="O5">
        <v>12.512700000000001</v>
      </c>
      <c r="P5" t="s">
        <v>54</v>
      </c>
      <c r="Q5" t="s">
        <v>55</v>
      </c>
      <c r="R5" t="s">
        <v>65</v>
      </c>
      <c r="S5" t="s">
        <v>61</v>
      </c>
      <c r="T5">
        <v>39</v>
      </c>
      <c r="U5">
        <v>14</v>
      </c>
      <c r="V5">
        <v>60</v>
      </c>
      <c r="W5">
        <v>25</v>
      </c>
      <c r="X5">
        <v>5</v>
      </c>
      <c r="Y5" t="s">
        <v>69</v>
      </c>
      <c r="Z5" t="s">
        <v>70</v>
      </c>
      <c r="AA5" t="s">
        <v>53</v>
      </c>
      <c r="AB5">
        <v>14</v>
      </c>
    </row>
    <row r="6" spans="1:28" hidden="1" x14ac:dyDescent="0.3">
      <c r="A6">
        <v>45741.697824074072</v>
      </c>
      <c r="B6">
        <v>45741.703703703701</v>
      </c>
      <c r="C6">
        <v>0</v>
      </c>
      <c r="D6" t="s">
        <v>51</v>
      </c>
      <c r="E6">
        <v>100</v>
      </c>
      <c r="F6">
        <v>507</v>
      </c>
      <c r="G6">
        <v>1</v>
      </c>
      <c r="H6">
        <v>45741.70370716435</v>
      </c>
      <c r="I6" t="s">
        <v>71</v>
      </c>
      <c r="J6" t="s">
        <v>53</v>
      </c>
      <c r="K6" t="s">
        <v>53</v>
      </c>
      <c r="L6" t="s">
        <v>53</v>
      </c>
      <c r="M6" t="s">
        <v>53</v>
      </c>
      <c r="N6">
        <v>41.890500000000003</v>
      </c>
      <c r="O6">
        <v>12.512700000000001</v>
      </c>
      <c r="P6" t="s">
        <v>54</v>
      </c>
      <c r="Q6" t="s">
        <v>55</v>
      </c>
      <c r="R6" t="s">
        <v>72</v>
      </c>
      <c r="S6" t="s">
        <v>57</v>
      </c>
      <c r="T6">
        <v>10</v>
      </c>
      <c r="U6">
        <v>8</v>
      </c>
      <c r="V6">
        <v>3</v>
      </c>
      <c r="W6">
        <v>25</v>
      </c>
      <c r="X6">
        <v>16</v>
      </c>
      <c r="Y6" t="s">
        <v>73</v>
      </c>
      <c r="Z6" t="s">
        <v>74</v>
      </c>
      <c r="AA6">
        <v>8</v>
      </c>
      <c r="AB6" t="s">
        <v>53</v>
      </c>
    </row>
    <row r="7" spans="1:28" x14ac:dyDescent="0.3">
      <c r="A7">
        <v>45741.704247685186</v>
      </c>
      <c r="B7">
        <v>45741.709583333337</v>
      </c>
      <c r="C7">
        <v>0</v>
      </c>
      <c r="D7" t="s">
        <v>51</v>
      </c>
      <c r="E7">
        <v>100</v>
      </c>
      <c r="F7">
        <v>461</v>
      </c>
      <c r="G7">
        <v>1</v>
      </c>
      <c r="H7">
        <v>45741.709594467589</v>
      </c>
      <c r="I7" t="s">
        <v>75</v>
      </c>
      <c r="J7" t="s">
        <v>53</v>
      </c>
      <c r="K7" t="s">
        <v>53</v>
      </c>
      <c r="L7" t="s">
        <v>53</v>
      </c>
      <c r="M7" t="s">
        <v>53</v>
      </c>
      <c r="N7">
        <v>41.890500000000003</v>
      </c>
      <c r="O7">
        <v>12.512700000000001</v>
      </c>
      <c r="P7" t="s">
        <v>54</v>
      </c>
      <c r="Q7" t="s">
        <v>55</v>
      </c>
      <c r="R7" t="s">
        <v>76</v>
      </c>
      <c r="S7" t="s">
        <v>61</v>
      </c>
      <c r="T7">
        <v>34</v>
      </c>
      <c r="U7">
        <v>21</v>
      </c>
      <c r="V7">
        <v>21</v>
      </c>
      <c r="W7">
        <v>40</v>
      </c>
      <c r="X7">
        <v>18</v>
      </c>
      <c r="Y7" t="s">
        <v>77</v>
      </c>
      <c r="Z7" t="s">
        <v>78</v>
      </c>
      <c r="AA7" t="s">
        <v>53</v>
      </c>
      <c r="AB7">
        <v>21</v>
      </c>
    </row>
    <row r="8" spans="1:28" x14ac:dyDescent="0.3">
      <c r="A8">
        <v>45742.396701388891</v>
      </c>
      <c r="B8">
        <v>45742.425787037035</v>
      </c>
      <c r="C8">
        <v>0</v>
      </c>
      <c r="D8" t="s">
        <v>51</v>
      </c>
      <c r="E8">
        <v>100</v>
      </c>
      <c r="F8">
        <v>2513</v>
      </c>
      <c r="G8">
        <v>1</v>
      </c>
      <c r="H8">
        <v>45742.425811122688</v>
      </c>
      <c r="I8" t="s">
        <v>79</v>
      </c>
      <c r="J8" t="s">
        <v>53</v>
      </c>
      <c r="K8" t="s">
        <v>53</v>
      </c>
      <c r="L8" t="s">
        <v>53</v>
      </c>
      <c r="M8" t="s">
        <v>53</v>
      </c>
      <c r="N8">
        <v>41.890500000000003</v>
      </c>
      <c r="O8">
        <v>12.512700000000001</v>
      </c>
      <c r="P8" t="s">
        <v>54</v>
      </c>
      <c r="Q8" t="s">
        <v>55</v>
      </c>
      <c r="R8" t="s">
        <v>80</v>
      </c>
      <c r="S8" t="s">
        <v>61</v>
      </c>
      <c r="T8">
        <v>44</v>
      </c>
      <c r="U8">
        <v>64</v>
      </c>
      <c r="V8">
        <v>50</v>
      </c>
      <c r="W8">
        <v>24</v>
      </c>
      <c r="X8">
        <v>35</v>
      </c>
      <c r="Y8" t="s">
        <v>81</v>
      </c>
      <c r="Z8" t="s">
        <v>82</v>
      </c>
      <c r="AA8" t="s">
        <v>53</v>
      </c>
      <c r="AB8">
        <v>64</v>
      </c>
    </row>
    <row r="9" spans="1:28" hidden="1" x14ac:dyDescent="0.3">
      <c r="A9">
        <v>45742.429409722223</v>
      </c>
      <c r="B9">
        <v>45742.430694444447</v>
      </c>
      <c r="C9">
        <v>0</v>
      </c>
      <c r="D9" t="s">
        <v>51</v>
      </c>
      <c r="E9">
        <v>100</v>
      </c>
      <c r="F9">
        <v>111</v>
      </c>
      <c r="G9">
        <v>1</v>
      </c>
      <c r="H9">
        <v>45742.430704571758</v>
      </c>
      <c r="I9" t="s">
        <v>83</v>
      </c>
      <c r="J9" t="s">
        <v>53</v>
      </c>
      <c r="K9" t="s">
        <v>53</v>
      </c>
      <c r="L9" t="s">
        <v>53</v>
      </c>
      <c r="M9" t="s">
        <v>53</v>
      </c>
      <c r="N9">
        <v>41.890500000000003</v>
      </c>
      <c r="O9">
        <v>12.512700000000001</v>
      </c>
      <c r="P9" t="s">
        <v>54</v>
      </c>
      <c r="Q9" t="s">
        <v>55</v>
      </c>
      <c r="R9" t="s">
        <v>80</v>
      </c>
      <c r="S9" t="s">
        <v>57</v>
      </c>
      <c r="T9">
        <v>16</v>
      </c>
      <c r="U9">
        <v>53</v>
      </c>
      <c r="V9">
        <v>67</v>
      </c>
      <c r="W9">
        <v>58</v>
      </c>
      <c r="X9">
        <v>22</v>
      </c>
      <c r="Y9" t="s">
        <v>84</v>
      </c>
      <c r="Z9" t="s">
        <v>85</v>
      </c>
      <c r="AA9">
        <v>53</v>
      </c>
      <c r="AB9" t="s">
        <v>53</v>
      </c>
    </row>
    <row r="10" spans="1:28" hidden="1" x14ac:dyDescent="0.3">
      <c r="A10">
        <v>45742.457314814812</v>
      </c>
      <c r="B10">
        <v>45742.460972222223</v>
      </c>
      <c r="C10">
        <v>0</v>
      </c>
      <c r="D10" t="s">
        <v>51</v>
      </c>
      <c r="E10">
        <v>100</v>
      </c>
      <c r="F10">
        <v>316</v>
      </c>
      <c r="G10">
        <v>1</v>
      </c>
      <c r="H10">
        <v>45742.460985081016</v>
      </c>
      <c r="I10" t="s">
        <v>86</v>
      </c>
      <c r="J10" t="s">
        <v>53</v>
      </c>
      <c r="K10" t="s">
        <v>53</v>
      </c>
      <c r="L10" t="s">
        <v>53</v>
      </c>
      <c r="M10" t="s">
        <v>53</v>
      </c>
      <c r="N10">
        <v>41.890500000000003</v>
      </c>
      <c r="O10">
        <v>12.512700000000001</v>
      </c>
      <c r="P10" t="s">
        <v>54</v>
      </c>
      <c r="Q10" t="s">
        <v>55</v>
      </c>
      <c r="R10" t="s">
        <v>87</v>
      </c>
      <c r="S10" t="s">
        <v>57</v>
      </c>
      <c r="T10">
        <v>15</v>
      </c>
      <c r="U10">
        <v>0</v>
      </c>
      <c r="V10">
        <v>9</v>
      </c>
      <c r="W10">
        <v>0</v>
      </c>
      <c r="X10">
        <v>0</v>
      </c>
      <c r="Y10" t="s">
        <v>88</v>
      </c>
      <c r="Z10" t="s">
        <v>89</v>
      </c>
      <c r="AA10">
        <v>0</v>
      </c>
      <c r="AB10" t="s">
        <v>53</v>
      </c>
    </row>
    <row r="11" spans="1:28" x14ac:dyDescent="0.3">
      <c r="A11">
        <v>45742.461041666669</v>
      </c>
      <c r="B11">
        <v>45742.467430555553</v>
      </c>
      <c r="C11">
        <v>0</v>
      </c>
      <c r="D11" t="s">
        <v>51</v>
      </c>
      <c r="E11">
        <v>100</v>
      </c>
      <c r="F11">
        <v>551</v>
      </c>
      <c r="G11">
        <v>1</v>
      </c>
      <c r="H11">
        <v>45742.467440856482</v>
      </c>
      <c r="I11" t="s">
        <v>90</v>
      </c>
      <c r="J11" t="s">
        <v>53</v>
      </c>
      <c r="K11" t="s">
        <v>53</v>
      </c>
      <c r="L11" t="s">
        <v>53</v>
      </c>
      <c r="M11" t="s">
        <v>53</v>
      </c>
      <c r="N11">
        <v>41.890500000000003</v>
      </c>
      <c r="O11">
        <v>12.512700000000001</v>
      </c>
      <c r="P11" t="s">
        <v>54</v>
      </c>
      <c r="Q11" t="s">
        <v>55</v>
      </c>
      <c r="R11" t="s">
        <v>87</v>
      </c>
      <c r="S11" t="s">
        <v>61</v>
      </c>
      <c r="T11">
        <v>1</v>
      </c>
      <c r="U11">
        <v>0</v>
      </c>
      <c r="V11">
        <v>3</v>
      </c>
      <c r="W11">
        <v>0</v>
      </c>
      <c r="X11">
        <v>0</v>
      </c>
      <c r="Y11" t="s">
        <v>91</v>
      </c>
      <c r="Z11" t="s">
        <v>92</v>
      </c>
      <c r="AA11" t="s">
        <v>53</v>
      </c>
      <c r="AB11">
        <v>0</v>
      </c>
    </row>
    <row r="12" spans="1:28" x14ac:dyDescent="0.3">
      <c r="A12">
        <v>45742.477314814816</v>
      </c>
      <c r="B12">
        <v>45742.478402777779</v>
      </c>
      <c r="C12">
        <v>0</v>
      </c>
      <c r="D12" t="s">
        <v>51</v>
      </c>
      <c r="E12">
        <v>100</v>
      </c>
      <c r="F12">
        <v>93</v>
      </c>
      <c r="G12">
        <v>1</v>
      </c>
      <c r="H12">
        <v>45742.478417627317</v>
      </c>
      <c r="I12" t="s">
        <v>93</v>
      </c>
      <c r="J12" t="s">
        <v>53</v>
      </c>
      <c r="K12" t="s">
        <v>53</v>
      </c>
      <c r="L12" t="s">
        <v>53</v>
      </c>
      <c r="M12" t="s">
        <v>53</v>
      </c>
      <c r="N12">
        <v>41.890500000000003</v>
      </c>
      <c r="O12">
        <v>12.512700000000001</v>
      </c>
      <c r="P12" t="s">
        <v>54</v>
      </c>
      <c r="Q12" t="s">
        <v>55</v>
      </c>
      <c r="R12" t="s">
        <v>94</v>
      </c>
      <c r="S12" t="s">
        <v>61</v>
      </c>
      <c r="T12">
        <v>9</v>
      </c>
      <c r="U12">
        <v>9</v>
      </c>
      <c r="V12">
        <v>8</v>
      </c>
      <c r="W12">
        <v>21</v>
      </c>
      <c r="X12">
        <v>4</v>
      </c>
      <c r="Y12" t="s">
        <v>95</v>
      </c>
      <c r="Z12" t="s">
        <v>96</v>
      </c>
      <c r="AA12" t="s">
        <v>53</v>
      </c>
      <c r="AB12">
        <v>9</v>
      </c>
    </row>
    <row r="13" spans="1:28" hidden="1" x14ac:dyDescent="0.3">
      <c r="A13">
        <v>45742.478668981479</v>
      </c>
      <c r="B13">
        <v>45742.486203703702</v>
      </c>
      <c r="C13">
        <v>0</v>
      </c>
      <c r="D13" t="s">
        <v>51</v>
      </c>
      <c r="E13">
        <v>100</v>
      </c>
      <c r="F13">
        <v>650</v>
      </c>
      <c r="G13">
        <v>1</v>
      </c>
      <c r="H13">
        <v>45742.486214930555</v>
      </c>
      <c r="I13" t="s">
        <v>97</v>
      </c>
      <c r="J13" t="s">
        <v>53</v>
      </c>
      <c r="K13" t="s">
        <v>53</v>
      </c>
      <c r="L13" t="s">
        <v>53</v>
      </c>
      <c r="M13" t="s">
        <v>53</v>
      </c>
      <c r="N13">
        <v>41.890500000000003</v>
      </c>
      <c r="O13">
        <v>12.512700000000001</v>
      </c>
      <c r="P13" t="s">
        <v>54</v>
      </c>
      <c r="Q13" t="s">
        <v>55</v>
      </c>
      <c r="R13" t="s">
        <v>94</v>
      </c>
      <c r="S13" t="s">
        <v>57</v>
      </c>
      <c r="T13">
        <v>21</v>
      </c>
      <c r="U13">
        <v>31</v>
      </c>
      <c r="V13">
        <v>29</v>
      </c>
      <c r="W13">
        <v>32</v>
      </c>
      <c r="X13">
        <v>24</v>
      </c>
      <c r="Y13" t="s">
        <v>98</v>
      </c>
      <c r="Z13" t="s">
        <v>99</v>
      </c>
      <c r="AA13">
        <v>31</v>
      </c>
      <c r="AB13" t="s">
        <v>53</v>
      </c>
    </row>
    <row r="14" spans="1:28" x14ac:dyDescent="0.3">
      <c r="A14">
        <v>45742.488599537035</v>
      </c>
      <c r="B14">
        <v>45742.492060185185</v>
      </c>
      <c r="C14">
        <v>0</v>
      </c>
      <c r="D14" t="s">
        <v>51</v>
      </c>
      <c r="E14">
        <v>100</v>
      </c>
      <c r="F14">
        <v>299</v>
      </c>
      <c r="G14">
        <v>1</v>
      </c>
      <c r="H14">
        <v>45742.492074837966</v>
      </c>
      <c r="I14" t="s">
        <v>100</v>
      </c>
      <c r="J14" t="s">
        <v>53</v>
      </c>
      <c r="K14" t="s">
        <v>53</v>
      </c>
      <c r="L14" t="s">
        <v>53</v>
      </c>
      <c r="M14" t="s">
        <v>53</v>
      </c>
      <c r="N14">
        <v>41.890500000000003</v>
      </c>
      <c r="O14">
        <v>12.512700000000001</v>
      </c>
      <c r="P14" t="s">
        <v>54</v>
      </c>
      <c r="Q14" t="s">
        <v>55</v>
      </c>
      <c r="R14" t="s">
        <v>101</v>
      </c>
      <c r="S14" t="s">
        <v>61</v>
      </c>
      <c r="T14">
        <v>39</v>
      </c>
      <c r="U14">
        <v>3</v>
      </c>
      <c r="V14">
        <v>50</v>
      </c>
      <c r="W14">
        <v>1</v>
      </c>
      <c r="X14">
        <v>1</v>
      </c>
      <c r="Y14" t="s">
        <v>102</v>
      </c>
      <c r="Z14" t="s">
        <v>103</v>
      </c>
      <c r="AA14" t="s">
        <v>53</v>
      </c>
      <c r="AB14">
        <v>3</v>
      </c>
    </row>
    <row r="15" spans="1:28" hidden="1" x14ac:dyDescent="0.3">
      <c r="A15">
        <v>45742.492303240739</v>
      </c>
      <c r="B15">
        <v>45742.498159722221</v>
      </c>
      <c r="C15">
        <v>0</v>
      </c>
      <c r="D15" t="s">
        <v>51</v>
      </c>
      <c r="E15">
        <v>100</v>
      </c>
      <c r="F15">
        <v>505</v>
      </c>
      <c r="G15">
        <v>1</v>
      </c>
      <c r="H15">
        <v>45742.498168749997</v>
      </c>
      <c r="I15" t="s">
        <v>104</v>
      </c>
      <c r="J15" t="s">
        <v>53</v>
      </c>
      <c r="K15" t="s">
        <v>53</v>
      </c>
      <c r="L15" t="s">
        <v>53</v>
      </c>
      <c r="M15" t="s">
        <v>53</v>
      </c>
      <c r="N15">
        <v>41.890500000000003</v>
      </c>
      <c r="O15">
        <v>12.512700000000001</v>
      </c>
      <c r="P15" t="s">
        <v>54</v>
      </c>
      <c r="Q15" t="s">
        <v>55</v>
      </c>
      <c r="R15" t="s">
        <v>101</v>
      </c>
      <c r="S15" t="s">
        <v>57</v>
      </c>
      <c r="T15">
        <v>5</v>
      </c>
      <c r="U15">
        <v>1</v>
      </c>
      <c r="V15">
        <v>69</v>
      </c>
      <c r="W15">
        <v>3</v>
      </c>
      <c r="X15">
        <v>2</v>
      </c>
      <c r="Y15" t="s">
        <v>105</v>
      </c>
      <c r="Z15" t="s">
        <v>106</v>
      </c>
      <c r="AA15">
        <v>1</v>
      </c>
      <c r="AB15" t="s">
        <v>53</v>
      </c>
    </row>
    <row r="16" spans="1:28" hidden="1" x14ac:dyDescent="0.3">
      <c r="A16">
        <v>45742.594004629631</v>
      </c>
      <c r="B16">
        <v>45742.595613425925</v>
      </c>
      <c r="C16">
        <v>0</v>
      </c>
      <c r="D16" t="s">
        <v>51</v>
      </c>
      <c r="E16">
        <v>100</v>
      </c>
      <c r="F16">
        <v>139</v>
      </c>
      <c r="G16">
        <v>1</v>
      </c>
      <c r="H16">
        <v>45742.595626087961</v>
      </c>
      <c r="I16" t="s">
        <v>107</v>
      </c>
      <c r="J16" t="s">
        <v>53</v>
      </c>
      <c r="K16" t="s">
        <v>53</v>
      </c>
      <c r="L16" t="s">
        <v>53</v>
      </c>
      <c r="M16" t="s">
        <v>53</v>
      </c>
      <c r="N16">
        <v>41.890500000000003</v>
      </c>
      <c r="O16">
        <v>12.512700000000001</v>
      </c>
      <c r="P16" t="s">
        <v>54</v>
      </c>
      <c r="Q16" t="s">
        <v>55</v>
      </c>
      <c r="R16" t="s">
        <v>108</v>
      </c>
      <c r="S16" t="s">
        <v>57</v>
      </c>
      <c r="T16">
        <v>51</v>
      </c>
      <c r="U16">
        <v>8</v>
      </c>
      <c r="V16">
        <v>34</v>
      </c>
      <c r="W16">
        <v>6</v>
      </c>
      <c r="X16">
        <v>2</v>
      </c>
      <c r="Y16" t="s">
        <v>109</v>
      </c>
      <c r="Z16" t="s">
        <v>110</v>
      </c>
      <c r="AA16">
        <v>8</v>
      </c>
      <c r="AB16" t="s">
        <v>53</v>
      </c>
    </row>
    <row r="17" spans="1:28" x14ac:dyDescent="0.3">
      <c r="A17">
        <v>45742.596250000002</v>
      </c>
      <c r="B17">
        <v>45742.600868055553</v>
      </c>
      <c r="C17">
        <v>0</v>
      </c>
      <c r="D17" t="s">
        <v>51</v>
      </c>
      <c r="E17">
        <v>100</v>
      </c>
      <c r="F17">
        <v>398</v>
      </c>
      <c r="G17">
        <v>1</v>
      </c>
      <c r="H17">
        <v>45742.60087952546</v>
      </c>
      <c r="I17" t="s">
        <v>111</v>
      </c>
      <c r="J17" t="s">
        <v>53</v>
      </c>
      <c r="K17" t="s">
        <v>53</v>
      </c>
      <c r="L17" t="s">
        <v>53</v>
      </c>
      <c r="M17" t="s">
        <v>53</v>
      </c>
      <c r="N17">
        <v>41.890500000000003</v>
      </c>
      <c r="O17">
        <v>12.512700000000001</v>
      </c>
      <c r="P17" t="s">
        <v>54</v>
      </c>
      <c r="Q17" t="s">
        <v>55</v>
      </c>
      <c r="R17" t="s">
        <v>108</v>
      </c>
      <c r="S17" t="s">
        <v>61</v>
      </c>
      <c r="T17">
        <v>31</v>
      </c>
      <c r="U17">
        <v>13</v>
      </c>
      <c r="V17">
        <v>66</v>
      </c>
      <c r="W17">
        <v>5</v>
      </c>
      <c r="X17">
        <v>2</v>
      </c>
      <c r="Y17" t="s">
        <v>112</v>
      </c>
      <c r="Z17" t="s">
        <v>113</v>
      </c>
      <c r="AA17" t="s">
        <v>53</v>
      </c>
      <c r="AB17">
        <v>13</v>
      </c>
    </row>
    <row r="18" spans="1:28" x14ac:dyDescent="0.3">
      <c r="A18">
        <v>45742.683240740742</v>
      </c>
      <c r="B18">
        <v>45742.68855324074</v>
      </c>
      <c r="C18">
        <v>0</v>
      </c>
      <c r="D18" t="s">
        <v>51</v>
      </c>
      <c r="E18">
        <v>100</v>
      </c>
      <c r="F18">
        <v>459</v>
      </c>
      <c r="G18">
        <v>1</v>
      </c>
      <c r="H18">
        <v>45742.68856372685</v>
      </c>
      <c r="I18" t="s">
        <v>114</v>
      </c>
      <c r="J18" t="s">
        <v>53</v>
      </c>
      <c r="K18" t="s">
        <v>53</v>
      </c>
      <c r="L18" t="s">
        <v>53</v>
      </c>
      <c r="M18" t="s">
        <v>53</v>
      </c>
      <c r="N18">
        <v>41.890500000000003</v>
      </c>
      <c r="O18">
        <v>12.512700000000001</v>
      </c>
      <c r="P18" t="s">
        <v>54</v>
      </c>
      <c r="Q18" t="s">
        <v>55</v>
      </c>
      <c r="R18" t="s">
        <v>115</v>
      </c>
      <c r="S18" t="s">
        <v>61</v>
      </c>
      <c r="T18">
        <v>77</v>
      </c>
      <c r="U18">
        <v>4</v>
      </c>
      <c r="V18">
        <v>19</v>
      </c>
      <c r="W18">
        <v>9</v>
      </c>
      <c r="X18">
        <v>2</v>
      </c>
      <c r="Y18" t="s">
        <v>116</v>
      </c>
      <c r="Z18" t="s">
        <v>117</v>
      </c>
      <c r="AA18" t="s">
        <v>53</v>
      </c>
      <c r="AB18">
        <v>4</v>
      </c>
    </row>
    <row r="19" spans="1:28" hidden="1" x14ac:dyDescent="0.3">
      <c r="A19">
        <v>45742.689317129632</v>
      </c>
      <c r="B19">
        <v>45742.694571759261</v>
      </c>
      <c r="C19">
        <v>0</v>
      </c>
      <c r="D19" t="s">
        <v>51</v>
      </c>
      <c r="E19">
        <v>100</v>
      </c>
      <c r="F19">
        <v>453</v>
      </c>
      <c r="G19">
        <v>1</v>
      </c>
      <c r="H19">
        <v>45742.694577442133</v>
      </c>
      <c r="I19" t="s">
        <v>118</v>
      </c>
      <c r="J19" t="s">
        <v>53</v>
      </c>
      <c r="K19" t="s">
        <v>53</v>
      </c>
      <c r="L19" t="s">
        <v>53</v>
      </c>
      <c r="M19" t="s">
        <v>53</v>
      </c>
      <c r="N19">
        <v>41.890500000000003</v>
      </c>
      <c r="O19">
        <v>12.512700000000001</v>
      </c>
      <c r="P19" t="s">
        <v>54</v>
      </c>
      <c r="Q19" t="s">
        <v>55</v>
      </c>
      <c r="R19" t="s">
        <v>115</v>
      </c>
      <c r="S19" t="s">
        <v>57</v>
      </c>
      <c r="T19">
        <v>1</v>
      </c>
      <c r="U19">
        <v>8</v>
      </c>
      <c r="V19">
        <v>83</v>
      </c>
      <c r="W19">
        <v>16</v>
      </c>
      <c r="X19">
        <v>1</v>
      </c>
      <c r="Y19" t="s">
        <v>119</v>
      </c>
      <c r="Z19" t="s">
        <v>120</v>
      </c>
      <c r="AA19">
        <v>8</v>
      </c>
      <c r="AB19" t="s">
        <v>53</v>
      </c>
    </row>
    <row r="20" spans="1:28" hidden="1" x14ac:dyDescent="0.3">
      <c r="A20">
        <v>45743.661377314813</v>
      </c>
      <c r="B20">
        <v>45743.672615740739</v>
      </c>
      <c r="C20">
        <v>0</v>
      </c>
      <c r="D20" t="s">
        <v>51</v>
      </c>
      <c r="E20">
        <v>100</v>
      </c>
      <c r="F20">
        <v>970</v>
      </c>
      <c r="G20">
        <v>1</v>
      </c>
      <c r="H20">
        <v>45743.672624178238</v>
      </c>
      <c r="I20" t="s">
        <v>121</v>
      </c>
      <c r="J20" t="s">
        <v>53</v>
      </c>
      <c r="K20" t="s">
        <v>53</v>
      </c>
      <c r="L20" t="s">
        <v>53</v>
      </c>
      <c r="M20" t="s">
        <v>53</v>
      </c>
      <c r="N20">
        <v>41.890500000000003</v>
      </c>
      <c r="O20">
        <v>12.512700000000001</v>
      </c>
      <c r="P20" t="s">
        <v>54</v>
      </c>
      <c r="Q20" t="s">
        <v>55</v>
      </c>
      <c r="R20" t="s">
        <v>122</v>
      </c>
      <c r="S20" t="s">
        <v>57</v>
      </c>
      <c r="T20">
        <v>36</v>
      </c>
      <c r="U20">
        <v>0</v>
      </c>
      <c r="V20">
        <v>14</v>
      </c>
      <c r="W20">
        <v>0</v>
      </c>
      <c r="X20">
        <v>0</v>
      </c>
      <c r="Y20" t="s">
        <v>116</v>
      </c>
      <c r="Z20" t="s">
        <v>123</v>
      </c>
      <c r="AA20">
        <v>0</v>
      </c>
      <c r="AB20" t="s">
        <v>53</v>
      </c>
    </row>
    <row r="21" spans="1:28" x14ac:dyDescent="0.3">
      <c r="A21">
        <v>45743.672696759262</v>
      </c>
      <c r="B21">
        <v>45743.677002314813</v>
      </c>
      <c r="C21">
        <v>0</v>
      </c>
      <c r="D21" t="s">
        <v>51</v>
      </c>
      <c r="E21">
        <v>100</v>
      </c>
      <c r="F21">
        <v>371</v>
      </c>
      <c r="G21">
        <v>1</v>
      </c>
      <c r="H21">
        <v>45743.677012511573</v>
      </c>
      <c r="I21" t="s">
        <v>124</v>
      </c>
      <c r="J21" t="s">
        <v>53</v>
      </c>
      <c r="K21" t="s">
        <v>53</v>
      </c>
      <c r="L21" t="s">
        <v>53</v>
      </c>
      <c r="M21" t="s">
        <v>53</v>
      </c>
      <c r="N21">
        <v>41.890500000000003</v>
      </c>
      <c r="O21">
        <v>12.512700000000001</v>
      </c>
      <c r="P21" t="s">
        <v>54</v>
      </c>
      <c r="Q21" t="s">
        <v>55</v>
      </c>
      <c r="R21" t="s">
        <v>122</v>
      </c>
      <c r="S21" t="s">
        <v>61</v>
      </c>
      <c r="T21">
        <v>61</v>
      </c>
      <c r="U21">
        <v>0</v>
      </c>
      <c r="V21">
        <v>33</v>
      </c>
      <c r="W21">
        <v>0</v>
      </c>
      <c r="X21">
        <v>0</v>
      </c>
      <c r="Y21" t="s">
        <v>125</v>
      </c>
      <c r="Z21" t="s">
        <v>126</v>
      </c>
      <c r="AA21" t="s">
        <v>53</v>
      </c>
      <c r="AB21">
        <v>0</v>
      </c>
    </row>
    <row r="22" spans="1:28" hidden="1" x14ac:dyDescent="0.3">
      <c r="A22">
        <v>45747.405277777776</v>
      </c>
      <c r="B22">
        <v>45747.422569444447</v>
      </c>
      <c r="C22">
        <v>0</v>
      </c>
      <c r="D22" t="s">
        <v>51</v>
      </c>
      <c r="E22">
        <v>100</v>
      </c>
      <c r="F22">
        <v>1493</v>
      </c>
      <c r="G22">
        <v>1</v>
      </c>
      <c r="H22">
        <v>45747.422585682871</v>
      </c>
      <c r="I22" t="s">
        <v>127</v>
      </c>
      <c r="J22" t="s">
        <v>53</v>
      </c>
      <c r="K22" t="s">
        <v>53</v>
      </c>
      <c r="L22" t="s">
        <v>53</v>
      </c>
      <c r="M22" t="s">
        <v>53</v>
      </c>
      <c r="N22">
        <v>41.890500000000003</v>
      </c>
      <c r="O22">
        <v>12.512700000000001</v>
      </c>
      <c r="P22" t="s">
        <v>54</v>
      </c>
      <c r="Q22" t="s">
        <v>55</v>
      </c>
      <c r="R22" t="s">
        <v>128</v>
      </c>
      <c r="S22" t="s">
        <v>57</v>
      </c>
      <c r="T22">
        <v>94</v>
      </c>
      <c r="U22">
        <v>94</v>
      </c>
      <c r="V22">
        <v>100</v>
      </c>
      <c r="W22">
        <v>6</v>
      </c>
      <c r="X22">
        <v>1</v>
      </c>
      <c r="Y22" t="s">
        <v>129</v>
      </c>
      <c r="Z22" t="s">
        <v>130</v>
      </c>
      <c r="AA22">
        <v>94</v>
      </c>
      <c r="AB22" t="s">
        <v>53</v>
      </c>
    </row>
    <row r="23" spans="1:28" x14ac:dyDescent="0.3">
      <c r="A23">
        <v>45747.404872685183</v>
      </c>
      <c r="B23">
        <v>45747.430092592593</v>
      </c>
      <c r="C23">
        <v>0</v>
      </c>
      <c r="D23" t="s">
        <v>51</v>
      </c>
      <c r="E23">
        <v>100</v>
      </c>
      <c r="F23">
        <v>2179</v>
      </c>
      <c r="G23">
        <v>1</v>
      </c>
      <c r="H23">
        <v>45747.430107638887</v>
      </c>
      <c r="I23" t="s">
        <v>131</v>
      </c>
      <c r="J23" t="s">
        <v>53</v>
      </c>
      <c r="K23" t="s">
        <v>53</v>
      </c>
      <c r="L23" t="s">
        <v>53</v>
      </c>
      <c r="M23" t="s">
        <v>53</v>
      </c>
      <c r="N23">
        <v>41.890500000000003</v>
      </c>
      <c r="O23">
        <v>12.512700000000001</v>
      </c>
      <c r="P23" t="s">
        <v>54</v>
      </c>
      <c r="Q23" t="s">
        <v>55</v>
      </c>
      <c r="R23" t="s">
        <v>132</v>
      </c>
      <c r="S23" t="s">
        <v>61</v>
      </c>
      <c r="T23">
        <v>0</v>
      </c>
      <c r="U23">
        <v>0</v>
      </c>
      <c r="V23">
        <v>27</v>
      </c>
      <c r="W23">
        <v>0</v>
      </c>
      <c r="X23">
        <v>0</v>
      </c>
      <c r="Y23" t="s">
        <v>133</v>
      </c>
      <c r="Z23" t="s">
        <v>134</v>
      </c>
      <c r="AA23" t="s">
        <v>53</v>
      </c>
      <c r="AB23">
        <v>0</v>
      </c>
    </row>
    <row r="24" spans="1:28" x14ac:dyDescent="0.3">
      <c r="A24">
        <v>45747.432442129626</v>
      </c>
      <c r="B24">
        <v>45747.441331018519</v>
      </c>
      <c r="C24">
        <v>0</v>
      </c>
      <c r="D24" t="s">
        <v>51</v>
      </c>
      <c r="E24">
        <v>100</v>
      </c>
      <c r="F24">
        <v>767</v>
      </c>
      <c r="G24">
        <v>1</v>
      </c>
      <c r="H24">
        <v>45747.441338842589</v>
      </c>
      <c r="I24" t="s">
        <v>135</v>
      </c>
      <c r="J24" t="s">
        <v>53</v>
      </c>
      <c r="K24" t="s">
        <v>53</v>
      </c>
      <c r="L24" t="s">
        <v>53</v>
      </c>
      <c r="M24" t="s">
        <v>53</v>
      </c>
      <c r="N24">
        <v>41.890500000000003</v>
      </c>
      <c r="O24">
        <v>12.512700000000001</v>
      </c>
      <c r="P24" t="s">
        <v>54</v>
      </c>
      <c r="Q24" t="s">
        <v>55</v>
      </c>
      <c r="R24" t="s">
        <v>136</v>
      </c>
      <c r="S24" t="s">
        <v>61</v>
      </c>
      <c r="T24">
        <v>100</v>
      </c>
      <c r="U24">
        <v>97</v>
      </c>
      <c r="V24">
        <v>100</v>
      </c>
      <c r="W24">
        <v>50</v>
      </c>
      <c r="X24">
        <v>0</v>
      </c>
      <c r="Y24" t="s">
        <v>91</v>
      </c>
      <c r="Z24" t="s">
        <v>137</v>
      </c>
      <c r="AA24" t="s">
        <v>53</v>
      </c>
      <c r="AB24">
        <v>97</v>
      </c>
    </row>
    <row r="25" spans="1:28" hidden="1" x14ac:dyDescent="0.3">
      <c r="A25">
        <v>45747.432256944441</v>
      </c>
      <c r="B25">
        <v>45747.44195601852</v>
      </c>
      <c r="C25">
        <v>0</v>
      </c>
      <c r="D25" t="s">
        <v>51</v>
      </c>
      <c r="E25">
        <v>100</v>
      </c>
      <c r="F25">
        <v>838</v>
      </c>
      <c r="G25">
        <v>1</v>
      </c>
      <c r="H25">
        <v>45747.441966828701</v>
      </c>
      <c r="I25" t="s">
        <v>138</v>
      </c>
      <c r="J25" t="s">
        <v>53</v>
      </c>
      <c r="K25" t="s">
        <v>53</v>
      </c>
      <c r="L25" t="s">
        <v>53</v>
      </c>
      <c r="M25" t="s">
        <v>53</v>
      </c>
      <c r="N25">
        <v>41.890500000000003</v>
      </c>
      <c r="O25">
        <v>12.512700000000001</v>
      </c>
      <c r="P25" t="s">
        <v>54</v>
      </c>
      <c r="Q25" t="s">
        <v>55</v>
      </c>
      <c r="R25" t="s">
        <v>139</v>
      </c>
      <c r="S25" t="s">
        <v>57</v>
      </c>
      <c r="T25">
        <v>2</v>
      </c>
      <c r="U25">
        <v>0</v>
      </c>
      <c r="V25">
        <v>32</v>
      </c>
      <c r="W25">
        <v>0</v>
      </c>
      <c r="X25">
        <v>0</v>
      </c>
      <c r="Y25" t="s">
        <v>140</v>
      </c>
      <c r="Z25" t="s">
        <v>141</v>
      </c>
      <c r="AA25">
        <v>0</v>
      </c>
      <c r="AB25" t="s">
        <v>53</v>
      </c>
    </row>
    <row r="26" spans="1:28" x14ac:dyDescent="0.3">
      <c r="A26">
        <v>45751.46837962963</v>
      </c>
      <c r="B26">
        <v>45751.469560185185</v>
      </c>
      <c r="C26">
        <v>0</v>
      </c>
      <c r="D26" t="s">
        <v>51</v>
      </c>
      <c r="E26">
        <v>100</v>
      </c>
      <c r="F26">
        <v>102</v>
      </c>
      <c r="G26">
        <v>1</v>
      </c>
      <c r="H26">
        <v>45751.469573182869</v>
      </c>
      <c r="I26" t="s">
        <v>142</v>
      </c>
      <c r="J26" t="s">
        <v>53</v>
      </c>
      <c r="K26" t="s">
        <v>53</v>
      </c>
      <c r="L26" t="s">
        <v>53</v>
      </c>
      <c r="M26" t="s">
        <v>53</v>
      </c>
      <c r="N26">
        <v>41.890500000000003</v>
      </c>
      <c r="O26">
        <v>12.512700000000001</v>
      </c>
      <c r="P26" t="s">
        <v>54</v>
      </c>
      <c r="Q26" t="s">
        <v>55</v>
      </c>
      <c r="R26" t="s">
        <v>143</v>
      </c>
      <c r="S26" t="s">
        <v>61</v>
      </c>
      <c r="T26">
        <v>35</v>
      </c>
      <c r="U26">
        <v>9</v>
      </c>
      <c r="V26">
        <v>4</v>
      </c>
      <c r="W26">
        <v>8</v>
      </c>
      <c r="X26">
        <v>15</v>
      </c>
      <c r="Y26" t="s">
        <v>125</v>
      </c>
      <c r="Z26" t="s">
        <v>103</v>
      </c>
      <c r="AA26" t="s">
        <v>53</v>
      </c>
      <c r="AB26">
        <v>9</v>
      </c>
    </row>
    <row r="27" spans="1:28" hidden="1" x14ac:dyDescent="0.3">
      <c r="A27">
        <v>45751.470555555556</v>
      </c>
      <c r="B27">
        <v>45751.479363425926</v>
      </c>
      <c r="C27">
        <v>0</v>
      </c>
      <c r="D27" t="s">
        <v>51</v>
      </c>
      <c r="E27">
        <v>100</v>
      </c>
      <c r="F27">
        <v>760</v>
      </c>
      <c r="G27">
        <v>1</v>
      </c>
      <c r="H27">
        <v>45751.479378518517</v>
      </c>
      <c r="I27" t="s">
        <v>144</v>
      </c>
      <c r="J27" t="s">
        <v>53</v>
      </c>
      <c r="K27" t="s">
        <v>53</v>
      </c>
      <c r="L27" t="s">
        <v>53</v>
      </c>
      <c r="M27" t="s">
        <v>53</v>
      </c>
      <c r="N27">
        <v>41.890500000000003</v>
      </c>
      <c r="O27">
        <v>12.512700000000001</v>
      </c>
      <c r="P27" t="s">
        <v>54</v>
      </c>
      <c r="Q27" t="s">
        <v>55</v>
      </c>
      <c r="R27" t="s">
        <v>143</v>
      </c>
      <c r="S27" t="s">
        <v>57</v>
      </c>
      <c r="T27">
        <v>12</v>
      </c>
      <c r="U27">
        <v>4</v>
      </c>
      <c r="V27">
        <v>24</v>
      </c>
      <c r="W27">
        <v>5</v>
      </c>
      <c r="X27">
        <v>5</v>
      </c>
      <c r="Y27" t="s">
        <v>145</v>
      </c>
      <c r="Z27" t="s">
        <v>103</v>
      </c>
      <c r="AA27">
        <v>4</v>
      </c>
      <c r="AB27" t="s">
        <v>53</v>
      </c>
    </row>
    <row r="28" spans="1:28" hidden="1" x14ac:dyDescent="0.3">
      <c r="A28">
        <v>45833.533599537041</v>
      </c>
      <c r="B28">
        <v>45833.535011574073</v>
      </c>
      <c r="C28">
        <v>0</v>
      </c>
      <c r="D28" t="s">
        <v>51</v>
      </c>
      <c r="E28">
        <v>100</v>
      </c>
      <c r="F28">
        <v>121</v>
      </c>
      <c r="G28">
        <v>1</v>
      </c>
      <c r="H28">
        <v>45833.535019953706</v>
      </c>
      <c r="I28" t="s">
        <v>146</v>
      </c>
      <c r="J28" t="s">
        <v>53</v>
      </c>
      <c r="K28" t="s">
        <v>53</v>
      </c>
      <c r="L28" t="s">
        <v>53</v>
      </c>
      <c r="M28" t="s">
        <v>53</v>
      </c>
      <c r="N28">
        <v>41.292000000000002</v>
      </c>
      <c r="O28">
        <v>13.244</v>
      </c>
      <c r="P28" t="s">
        <v>54</v>
      </c>
      <c r="Q28" t="s">
        <v>55</v>
      </c>
      <c r="R28" t="s">
        <v>147</v>
      </c>
      <c r="S28" t="s">
        <v>57</v>
      </c>
      <c r="T28">
        <v>6</v>
      </c>
      <c r="U28">
        <v>13</v>
      </c>
      <c r="V28">
        <v>26</v>
      </c>
      <c r="W28">
        <v>15</v>
      </c>
      <c r="X28">
        <v>6</v>
      </c>
      <c r="Y28" t="s">
        <v>148</v>
      </c>
      <c r="Z28" t="s">
        <v>103</v>
      </c>
      <c r="AA28">
        <v>13</v>
      </c>
      <c r="AB28" t="s">
        <v>53</v>
      </c>
    </row>
    <row r="29" spans="1:28" x14ac:dyDescent="0.3">
      <c r="A29">
        <v>45833.535983796297</v>
      </c>
      <c r="B29">
        <v>45833.537800925929</v>
      </c>
      <c r="C29">
        <v>0</v>
      </c>
      <c r="D29" t="s">
        <v>51</v>
      </c>
      <c r="E29">
        <v>100</v>
      </c>
      <c r="F29">
        <v>157</v>
      </c>
      <c r="G29">
        <v>1</v>
      </c>
      <c r="H29">
        <v>45833.537811886577</v>
      </c>
      <c r="I29" t="s">
        <v>149</v>
      </c>
      <c r="J29" t="s">
        <v>53</v>
      </c>
      <c r="K29" t="s">
        <v>53</v>
      </c>
      <c r="L29" t="s">
        <v>53</v>
      </c>
      <c r="M29" t="s">
        <v>53</v>
      </c>
      <c r="N29">
        <v>41.292000000000002</v>
      </c>
      <c r="O29">
        <v>13.244</v>
      </c>
      <c r="P29" t="s">
        <v>54</v>
      </c>
      <c r="Q29" t="s">
        <v>55</v>
      </c>
      <c r="R29" t="s">
        <v>147</v>
      </c>
      <c r="S29" t="s">
        <v>61</v>
      </c>
      <c r="T29">
        <v>49</v>
      </c>
      <c r="U29">
        <v>13</v>
      </c>
      <c r="V29">
        <v>49</v>
      </c>
      <c r="W29">
        <v>14</v>
      </c>
      <c r="X29">
        <v>5</v>
      </c>
      <c r="Y29" t="s">
        <v>150</v>
      </c>
      <c r="Z29" t="s">
        <v>151</v>
      </c>
      <c r="AA29" t="s">
        <v>53</v>
      </c>
      <c r="AB29">
        <v>13</v>
      </c>
    </row>
    <row r="30" spans="1:28" x14ac:dyDescent="0.3">
      <c r="A30">
        <v>45833.563935185186</v>
      </c>
      <c r="B30">
        <v>45833.565879629627</v>
      </c>
      <c r="C30">
        <v>0</v>
      </c>
      <c r="D30" t="s">
        <v>51</v>
      </c>
      <c r="E30">
        <v>100</v>
      </c>
      <c r="F30">
        <v>167</v>
      </c>
      <c r="G30">
        <v>1</v>
      </c>
      <c r="H30">
        <v>45833.565886388889</v>
      </c>
      <c r="I30" t="s">
        <v>152</v>
      </c>
      <c r="J30" t="s">
        <v>53</v>
      </c>
      <c r="K30" t="s">
        <v>53</v>
      </c>
      <c r="L30" t="s">
        <v>53</v>
      </c>
      <c r="M30" t="s">
        <v>53</v>
      </c>
      <c r="N30">
        <v>41.292000000000002</v>
      </c>
      <c r="O30">
        <v>13.244</v>
      </c>
      <c r="P30" t="s">
        <v>54</v>
      </c>
      <c r="Q30" t="s">
        <v>55</v>
      </c>
      <c r="R30" t="s">
        <v>153</v>
      </c>
      <c r="S30" t="s">
        <v>61</v>
      </c>
      <c r="T30">
        <v>49</v>
      </c>
      <c r="U30">
        <v>23</v>
      </c>
      <c r="V30">
        <v>42</v>
      </c>
      <c r="W30">
        <v>29</v>
      </c>
      <c r="X30">
        <v>9</v>
      </c>
      <c r="Y30" t="s">
        <v>154</v>
      </c>
      <c r="Z30" t="s">
        <v>155</v>
      </c>
      <c r="AA30" t="s">
        <v>53</v>
      </c>
      <c r="AB30">
        <v>23</v>
      </c>
    </row>
    <row r="31" spans="1:28" hidden="1" x14ac:dyDescent="0.3">
      <c r="A31">
        <v>45833.570208333331</v>
      </c>
      <c r="B31">
        <v>45833.571180555555</v>
      </c>
      <c r="C31">
        <v>0</v>
      </c>
      <c r="D31" t="s">
        <v>51</v>
      </c>
      <c r="E31">
        <v>100</v>
      </c>
      <c r="F31">
        <v>84</v>
      </c>
      <c r="G31">
        <v>1</v>
      </c>
      <c r="H31">
        <v>45833.571194930555</v>
      </c>
      <c r="I31" t="s">
        <v>156</v>
      </c>
      <c r="J31" t="s">
        <v>53</v>
      </c>
      <c r="K31" t="s">
        <v>53</v>
      </c>
      <c r="L31" t="s">
        <v>53</v>
      </c>
      <c r="M31" t="s">
        <v>53</v>
      </c>
      <c r="N31">
        <v>41.292000000000002</v>
      </c>
      <c r="O31">
        <v>13.244</v>
      </c>
      <c r="P31" t="s">
        <v>54</v>
      </c>
      <c r="Q31" t="s">
        <v>55</v>
      </c>
      <c r="R31" t="s">
        <v>153</v>
      </c>
      <c r="S31" t="s">
        <v>57</v>
      </c>
      <c r="T31">
        <v>0</v>
      </c>
      <c r="U31">
        <v>9</v>
      </c>
      <c r="V31">
        <v>61</v>
      </c>
      <c r="W31">
        <v>8</v>
      </c>
      <c r="X31">
        <v>0</v>
      </c>
      <c r="Y31" t="s">
        <v>157</v>
      </c>
      <c r="Z31" t="s">
        <v>158</v>
      </c>
      <c r="AA31">
        <v>9</v>
      </c>
      <c r="AB31" t="s">
        <v>53</v>
      </c>
    </row>
    <row r="32" spans="1:28" hidden="1" x14ac:dyDescent="0.3">
      <c r="A32">
        <v>45835.489340277774</v>
      </c>
      <c r="B32">
        <v>45835.498564814814</v>
      </c>
      <c r="C32">
        <v>0</v>
      </c>
      <c r="D32" t="s">
        <v>51</v>
      </c>
      <c r="E32">
        <v>100</v>
      </c>
      <c r="F32">
        <v>797</v>
      </c>
      <c r="G32">
        <v>1</v>
      </c>
      <c r="H32">
        <v>45835.498575717589</v>
      </c>
      <c r="I32" t="s">
        <v>159</v>
      </c>
      <c r="J32" t="s">
        <v>53</v>
      </c>
      <c r="K32" t="s">
        <v>53</v>
      </c>
      <c r="L32" t="s">
        <v>53</v>
      </c>
      <c r="M32" t="s">
        <v>53</v>
      </c>
      <c r="N32">
        <v>41.890500000000003</v>
      </c>
      <c r="O32">
        <v>12.512700000000001</v>
      </c>
      <c r="P32" t="s">
        <v>54</v>
      </c>
      <c r="Q32" t="s">
        <v>55</v>
      </c>
      <c r="R32" t="s">
        <v>160</v>
      </c>
      <c r="S32" t="s">
        <v>57</v>
      </c>
      <c r="T32">
        <v>36</v>
      </c>
      <c r="U32">
        <v>6</v>
      </c>
      <c r="V32">
        <v>7</v>
      </c>
      <c r="W32">
        <v>5</v>
      </c>
      <c r="X32">
        <v>0</v>
      </c>
      <c r="Y32" t="s">
        <v>161</v>
      </c>
      <c r="Z32" t="s">
        <v>162</v>
      </c>
      <c r="AA32">
        <v>6</v>
      </c>
      <c r="AB32" t="s">
        <v>53</v>
      </c>
    </row>
    <row r="33" spans="1:28" x14ac:dyDescent="0.3">
      <c r="A33">
        <v>45835.498784722222</v>
      </c>
      <c r="B33">
        <v>45835.502627314818</v>
      </c>
      <c r="C33">
        <v>0</v>
      </c>
      <c r="D33" t="s">
        <v>51</v>
      </c>
      <c r="E33">
        <v>100</v>
      </c>
      <c r="F33">
        <v>331</v>
      </c>
      <c r="G33">
        <v>1</v>
      </c>
      <c r="H33">
        <v>45835.502640601851</v>
      </c>
      <c r="I33" t="s">
        <v>163</v>
      </c>
      <c r="J33" t="s">
        <v>53</v>
      </c>
      <c r="K33" t="s">
        <v>53</v>
      </c>
      <c r="L33" t="s">
        <v>53</v>
      </c>
      <c r="M33" t="s">
        <v>53</v>
      </c>
      <c r="N33">
        <v>41.890500000000003</v>
      </c>
      <c r="O33">
        <v>12.512700000000001</v>
      </c>
      <c r="P33" t="s">
        <v>54</v>
      </c>
      <c r="Q33" t="s">
        <v>55</v>
      </c>
      <c r="R33" t="s">
        <v>160</v>
      </c>
      <c r="S33" t="s">
        <v>61</v>
      </c>
      <c r="T33">
        <v>58</v>
      </c>
      <c r="U33">
        <v>4</v>
      </c>
      <c r="V33">
        <v>9</v>
      </c>
      <c r="W33">
        <v>1</v>
      </c>
      <c r="X33">
        <v>1</v>
      </c>
      <c r="Y33" t="s">
        <v>164</v>
      </c>
      <c r="Z33" t="s">
        <v>165</v>
      </c>
      <c r="AA33" t="s">
        <v>53</v>
      </c>
      <c r="AB33">
        <v>4</v>
      </c>
    </row>
    <row r="34" spans="1:28" x14ac:dyDescent="0.3">
      <c r="A34">
        <v>45840.566388888888</v>
      </c>
      <c r="B34">
        <v>45840.579930555556</v>
      </c>
      <c r="C34">
        <v>0</v>
      </c>
      <c r="D34" t="s">
        <v>51</v>
      </c>
      <c r="E34">
        <v>100</v>
      </c>
      <c r="F34">
        <v>1170</v>
      </c>
      <c r="G34">
        <v>1</v>
      </c>
      <c r="H34">
        <v>45840.579947245373</v>
      </c>
      <c r="I34" t="s">
        <v>166</v>
      </c>
      <c r="J34" t="s">
        <v>53</v>
      </c>
      <c r="K34" t="s">
        <v>53</v>
      </c>
      <c r="L34" t="s">
        <v>53</v>
      </c>
      <c r="M34" t="s">
        <v>53</v>
      </c>
      <c r="N34">
        <v>41.890500000000003</v>
      </c>
      <c r="O34">
        <v>12.512700000000001</v>
      </c>
      <c r="P34" t="s">
        <v>54</v>
      </c>
      <c r="Q34" t="s">
        <v>55</v>
      </c>
      <c r="R34" t="s">
        <v>167</v>
      </c>
      <c r="S34" t="s">
        <v>61</v>
      </c>
      <c r="T34">
        <v>6</v>
      </c>
      <c r="U34">
        <v>8</v>
      </c>
      <c r="V34">
        <v>6</v>
      </c>
      <c r="W34">
        <v>8</v>
      </c>
      <c r="X34">
        <v>0</v>
      </c>
      <c r="Y34" t="s">
        <v>168</v>
      </c>
      <c r="Z34" t="s">
        <v>169</v>
      </c>
      <c r="AA34" t="s">
        <v>53</v>
      </c>
      <c r="AB34">
        <v>8</v>
      </c>
    </row>
    <row r="35" spans="1:28" hidden="1" x14ac:dyDescent="0.3">
      <c r="A35">
        <v>45840.580428240741</v>
      </c>
      <c r="B35">
        <v>45840.583657407406</v>
      </c>
      <c r="C35">
        <v>0</v>
      </c>
      <c r="D35" t="s">
        <v>51</v>
      </c>
      <c r="E35">
        <v>100</v>
      </c>
      <c r="F35">
        <v>278</v>
      </c>
      <c r="G35">
        <v>1</v>
      </c>
      <c r="H35">
        <v>45840.583663379628</v>
      </c>
      <c r="I35" t="s">
        <v>170</v>
      </c>
      <c r="J35" t="s">
        <v>53</v>
      </c>
      <c r="K35" t="s">
        <v>53</v>
      </c>
      <c r="L35" t="s">
        <v>53</v>
      </c>
      <c r="M35" t="s">
        <v>53</v>
      </c>
      <c r="N35">
        <v>41.890500000000003</v>
      </c>
      <c r="O35">
        <v>12.512700000000001</v>
      </c>
      <c r="P35" t="s">
        <v>54</v>
      </c>
      <c r="Q35" t="s">
        <v>55</v>
      </c>
      <c r="R35" t="s">
        <v>167</v>
      </c>
      <c r="S35" t="s">
        <v>57</v>
      </c>
      <c r="T35">
        <v>26</v>
      </c>
      <c r="U35">
        <v>0</v>
      </c>
      <c r="V35">
        <v>16</v>
      </c>
      <c r="W35">
        <v>0</v>
      </c>
      <c r="X35">
        <v>0</v>
      </c>
      <c r="Y35" t="s">
        <v>168</v>
      </c>
      <c r="Z35" t="s">
        <v>171</v>
      </c>
      <c r="AA35">
        <v>0</v>
      </c>
      <c r="AB35" t="s">
        <v>53</v>
      </c>
    </row>
    <row r="36" spans="1:28" hidden="1" x14ac:dyDescent="0.3">
      <c r="A36">
        <v>45930.623564814814</v>
      </c>
      <c r="B36">
        <v>45930.630914351852</v>
      </c>
      <c r="C36">
        <v>0</v>
      </c>
      <c r="D36" t="s">
        <v>186</v>
      </c>
      <c r="E36">
        <v>100</v>
      </c>
      <c r="F36">
        <v>634</v>
      </c>
      <c r="G36">
        <v>1</v>
      </c>
      <c r="H36">
        <v>45930.630924108795</v>
      </c>
      <c r="I36" t="s">
        <v>187</v>
      </c>
      <c r="J36" t="s">
        <v>53</v>
      </c>
      <c r="K36" t="s">
        <v>53</v>
      </c>
      <c r="L36" t="s">
        <v>53</v>
      </c>
      <c r="M36" t="s">
        <v>53</v>
      </c>
      <c r="N36">
        <v>41.890500000000003</v>
      </c>
      <c r="O36">
        <v>12.512700000000001</v>
      </c>
      <c r="P36" t="s">
        <v>54</v>
      </c>
      <c r="Q36" t="s">
        <v>55</v>
      </c>
      <c r="R36" t="s">
        <v>188</v>
      </c>
      <c r="S36" t="s">
        <v>57</v>
      </c>
      <c r="T36">
        <v>47</v>
      </c>
      <c r="U36">
        <v>14</v>
      </c>
      <c r="V36">
        <v>14</v>
      </c>
      <c r="W36">
        <v>19</v>
      </c>
      <c r="X36">
        <v>9</v>
      </c>
      <c r="Y36" t="s">
        <v>189</v>
      </c>
      <c r="Z36" t="s">
        <v>190</v>
      </c>
    </row>
    <row r="37" spans="1:28" x14ac:dyDescent="0.3">
      <c r="A37">
        <v>45930.63108796296</v>
      </c>
      <c r="B37">
        <v>45930.635972222219</v>
      </c>
      <c r="C37">
        <v>0</v>
      </c>
      <c r="D37" t="s">
        <v>186</v>
      </c>
      <c r="E37">
        <v>100</v>
      </c>
      <c r="F37">
        <v>421</v>
      </c>
      <c r="G37">
        <v>1</v>
      </c>
      <c r="H37">
        <v>45930.635980949075</v>
      </c>
      <c r="I37" t="s">
        <v>191</v>
      </c>
      <c r="J37" t="s">
        <v>53</v>
      </c>
      <c r="K37" t="s">
        <v>53</v>
      </c>
      <c r="L37" t="s">
        <v>53</v>
      </c>
      <c r="M37" t="s">
        <v>53</v>
      </c>
      <c r="N37">
        <v>41.890500000000003</v>
      </c>
      <c r="O37">
        <v>12.512700000000001</v>
      </c>
      <c r="P37" t="s">
        <v>54</v>
      </c>
      <c r="Q37" t="s">
        <v>55</v>
      </c>
      <c r="R37" t="s">
        <v>188</v>
      </c>
      <c r="S37" t="s">
        <v>61</v>
      </c>
      <c r="T37">
        <v>1</v>
      </c>
      <c r="U37">
        <v>48</v>
      </c>
      <c r="V37">
        <v>78</v>
      </c>
      <c r="W37">
        <v>45</v>
      </c>
      <c r="X37">
        <v>30</v>
      </c>
      <c r="Y37" t="s">
        <v>192</v>
      </c>
      <c r="Z37" t="s">
        <v>193</v>
      </c>
    </row>
    <row r="38" spans="1:28" x14ac:dyDescent="0.3">
      <c r="A38">
        <v>45938.527974537035</v>
      </c>
      <c r="B38">
        <v>45938.554155092592</v>
      </c>
      <c r="C38">
        <v>0</v>
      </c>
      <c r="D38" t="s">
        <v>194</v>
      </c>
      <c r="E38">
        <v>100</v>
      </c>
      <c r="F38">
        <v>2262</v>
      </c>
      <c r="G38">
        <v>1</v>
      </c>
      <c r="H38">
        <v>45938.554171006945</v>
      </c>
      <c r="I38" t="s">
        <v>195</v>
      </c>
      <c r="J38" t="s">
        <v>53</v>
      </c>
      <c r="K38" t="s">
        <v>53</v>
      </c>
      <c r="L38" t="s">
        <v>53</v>
      </c>
      <c r="M38" t="s">
        <v>53</v>
      </c>
      <c r="N38">
        <v>41.890500000000003</v>
      </c>
      <c r="O38">
        <v>12.512700000000001</v>
      </c>
      <c r="P38" t="s">
        <v>54</v>
      </c>
      <c r="Q38" t="s">
        <v>55</v>
      </c>
      <c r="R38" t="s">
        <v>196</v>
      </c>
      <c r="S38" t="s">
        <v>61</v>
      </c>
      <c r="T38">
        <v>16</v>
      </c>
      <c r="U38">
        <v>7</v>
      </c>
      <c r="V38">
        <v>1</v>
      </c>
      <c r="W38">
        <v>2</v>
      </c>
      <c r="X38">
        <v>0</v>
      </c>
      <c r="Y38" t="s">
        <v>197</v>
      </c>
      <c r="Z38" t="s">
        <v>198</v>
      </c>
    </row>
    <row r="39" spans="1:28" hidden="1" x14ac:dyDescent="0.3">
      <c r="A39">
        <v>45938.554293981484</v>
      </c>
      <c r="B39">
        <v>45938.556018518517</v>
      </c>
      <c r="C39">
        <v>0</v>
      </c>
      <c r="D39" t="s">
        <v>194</v>
      </c>
      <c r="E39">
        <v>100</v>
      </c>
      <c r="F39">
        <v>149</v>
      </c>
      <c r="G39">
        <v>1</v>
      </c>
      <c r="H39">
        <v>45938.556033321758</v>
      </c>
      <c r="I39" t="s">
        <v>199</v>
      </c>
      <c r="J39" t="s">
        <v>53</v>
      </c>
      <c r="K39" t="s">
        <v>53</v>
      </c>
      <c r="L39" t="s">
        <v>53</v>
      </c>
      <c r="M39" t="s">
        <v>53</v>
      </c>
      <c r="N39">
        <v>41.890500000000003</v>
      </c>
      <c r="O39">
        <v>12.512700000000001</v>
      </c>
      <c r="P39" t="s">
        <v>54</v>
      </c>
      <c r="Q39" t="s">
        <v>55</v>
      </c>
      <c r="R39" t="s">
        <v>196</v>
      </c>
      <c r="S39" t="s">
        <v>57</v>
      </c>
      <c r="T39">
        <v>39</v>
      </c>
      <c r="U39">
        <v>10</v>
      </c>
      <c r="V39">
        <v>30</v>
      </c>
      <c r="W39">
        <v>17</v>
      </c>
      <c r="X39">
        <v>1</v>
      </c>
      <c r="Y39" t="s">
        <v>200</v>
      </c>
      <c r="Z39" t="s">
        <v>198</v>
      </c>
    </row>
    <row r="40" spans="1:28" hidden="1" x14ac:dyDescent="0.3">
      <c r="A40">
        <v>45938.558217592596</v>
      </c>
      <c r="B40">
        <v>45938.569386574076</v>
      </c>
      <c r="C40">
        <v>0</v>
      </c>
      <c r="D40" t="s">
        <v>194</v>
      </c>
      <c r="E40">
        <v>100</v>
      </c>
      <c r="F40">
        <v>964</v>
      </c>
      <c r="G40">
        <v>1</v>
      </c>
      <c r="H40">
        <v>45938.569395439816</v>
      </c>
      <c r="I40" t="s">
        <v>201</v>
      </c>
      <c r="J40" t="s">
        <v>53</v>
      </c>
      <c r="K40" t="s">
        <v>53</v>
      </c>
      <c r="L40" t="s">
        <v>53</v>
      </c>
      <c r="M40" t="s">
        <v>53</v>
      </c>
      <c r="N40">
        <v>41.890500000000003</v>
      </c>
      <c r="O40">
        <v>12.512700000000001</v>
      </c>
      <c r="P40" t="s">
        <v>54</v>
      </c>
      <c r="Q40" t="s">
        <v>55</v>
      </c>
      <c r="R40" t="s">
        <v>202</v>
      </c>
      <c r="S40" t="s">
        <v>57</v>
      </c>
      <c r="T40">
        <v>98</v>
      </c>
      <c r="U40">
        <v>13</v>
      </c>
      <c r="V40">
        <v>3</v>
      </c>
      <c r="W40">
        <v>0</v>
      </c>
      <c r="X40">
        <v>2</v>
      </c>
      <c r="Y40" t="s">
        <v>203</v>
      </c>
      <c r="Z40" t="s">
        <v>198</v>
      </c>
    </row>
    <row r="41" spans="1:28" x14ac:dyDescent="0.3">
      <c r="A41">
        <v>45938.569548611114</v>
      </c>
      <c r="B41">
        <v>45938.571712962963</v>
      </c>
      <c r="C41">
        <v>0</v>
      </c>
      <c r="D41" t="s">
        <v>194</v>
      </c>
      <c r="E41">
        <v>100</v>
      </c>
      <c r="F41">
        <v>186</v>
      </c>
      <c r="G41">
        <v>1</v>
      </c>
      <c r="H41">
        <v>45938.571720335647</v>
      </c>
      <c r="I41" t="s">
        <v>204</v>
      </c>
      <c r="J41" t="s">
        <v>53</v>
      </c>
      <c r="K41" t="s">
        <v>53</v>
      </c>
      <c r="L41" t="s">
        <v>53</v>
      </c>
      <c r="M41" t="s">
        <v>53</v>
      </c>
      <c r="N41">
        <v>41.890500000000003</v>
      </c>
      <c r="O41">
        <v>12.512700000000001</v>
      </c>
      <c r="P41" t="s">
        <v>54</v>
      </c>
      <c r="Q41" t="s">
        <v>55</v>
      </c>
      <c r="R41" t="s">
        <v>202</v>
      </c>
      <c r="S41" t="s">
        <v>61</v>
      </c>
      <c r="T41">
        <v>2</v>
      </c>
      <c r="U41">
        <v>26</v>
      </c>
      <c r="V41">
        <v>48</v>
      </c>
      <c r="W41">
        <v>10</v>
      </c>
      <c r="X41">
        <v>13</v>
      </c>
      <c r="Y41" t="s">
        <v>205</v>
      </c>
      <c r="Z41" t="s">
        <v>206</v>
      </c>
    </row>
    <row r="42" spans="1:28" x14ac:dyDescent="0.3">
      <c r="A42">
        <v>45938.573020833333</v>
      </c>
      <c r="B42">
        <v>45938.595150462963</v>
      </c>
      <c r="C42">
        <v>0</v>
      </c>
      <c r="D42" t="s">
        <v>194</v>
      </c>
      <c r="E42">
        <v>100</v>
      </c>
      <c r="F42">
        <v>1912</v>
      </c>
      <c r="G42">
        <v>1</v>
      </c>
      <c r="H42">
        <v>45938.595163460646</v>
      </c>
      <c r="I42" t="s">
        <v>207</v>
      </c>
      <c r="J42" t="s">
        <v>53</v>
      </c>
      <c r="K42" t="s">
        <v>53</v>
      </c>
      <c r="L42" t="s">
        <v>53</v>
      </c>
      <c r="M42" t="s">
        <v>53</v>
      </c>
      <c r="N42">
        <v>41.890500000000003</v>
      </c>
      <c r="O42">
        <v>12.512700000000001</v>
      </c>
      <c r="P42" t="s">
        <v>54</v>
      </c>
      <c r="Q42" t="s">
        <v>55</v>
      </c>
      <c r="R42" t="s">
        <v>208</v>
      </c>
      <c r="S42" t="s">
        <v>61</v>
      </c>
      <c r="T42">
        <v>3</v>
      </c>
      <c r="U42">
        <v>9</v>
      </c>
      <c r="V42">
        <v>3</v>
      </c>
      <c r="W42">
        <v>5</v>
      </c>
      <c r="X42">
        <v>3</v>
      </c>
      <c r="Y42" t="s">
        <v>209</v>
      </c>
      <c r="Z42" t="s">
        <v>103</v>
      </c>
    </row>
    <row r="43" spans="1:28" hidden="1" x14ac:dyDescent="0.3">
      <c r="A43">
        <v>45938.595694444448</v>
      </c>
      <c r="B43">
        <v>45938.598553240743</v>
      </c>
      <c r="C43">
        <v>0</v>
      </c>
      <c r="D43" t="s">
        <v>194</v>
      </c>
      <c r="E43">
        <v>100</v>
      </c>
      <c r="F43">
        <v>247</v>
      </c>
      <c r="G43">
        <v>1</v>
      </c>
      <c r="H43">
        <v>45938.598562060186</v>
      </c>
      <c r="I43" t="s">
        <v>210</v>
      </c>
      <c r="J43" t="s">
        <v>53</v>
      </c>
      <c r="K43" t="s">
        <v>53</v>
      </c>
      <c r="L43" t="s">
        <v>53</v>
      </c>
      <c r="M43" t="s">
        <v>53</v>
      </c>
      <c r="N43">
        <v>41.890500000000003</v>
      </c>
      <c r="O43">
        <v>12.512700000000001</v>
      </c>
      <c r="P43" t="s">
        <v>54</v>
      </c>
      <c r="Q43" t="s">
        <v>55</v>
      </c>
      <c r="R43" t="s">
        <v>208</v>
      </c>
      <c r="S43" t="s">
        <v>57</v>
      </c>
      <c r="T43">
        <v>16</v>
      </c>
      <c r="U43">
        <v>7</v>
      </c>
      <c r="V43">
        <v>23</v>
      </c>
      <c r="W43">
        <v>10</v>
      </c>
      <c r="X43">
        <v>3</v>
      </c>
      <c r="Y43" t="s">
        <v>211</v>
      </c>
      <c r="Z43" t="s">
        <v>212</v>
      </c>
    </row>
    <row r="44" spans="1:28" hidden="1" x14ac:dyDescent="0.3">
      <c r="A44">
        <v>45938.601909722223</v>
      </c>
      <c r="B44">
        <v>45938.606932870367</v>
      </c>
      <c r="C44">
        <v>0</v>
      </c>
      <c r="D44" t="s">
        <v>194</v>
      </c>
      <c r="E44">
        <v>100</v>
      </c>
      <c r="F44">
        <v>433</v>
      </c>
      <c r="G44">
        <v>1</v>
      </c>
      <c r="H44">
        <v>45938.606942407408</v>
      </c>
      <c r="I44" t="s">
        <v>213</v>
      </c>
      <c r="J44" t="s">
        <v>53</v>
      </c>
      <c r="K44" t="s">
        <v>53</v>
      </c>
      <c r="L44" t="s">
        <v>53</v>
      </c>
      <c r="M44" t="s">
        <v>53</v>
      </c>
      <c r="N44">
        <v>41.890500000000003</v>
      </c>
      <c r="O44">
        <v>12.512700000000001</v>
      </c>
      <c r="P44" t="s">
        <v>54</v>
      </c>
      <c r="Q44" t="s">
        <v>55</v>
      </c>
      <c r="R44" t="s">
        <v>214</v>
      </c>
      <c r="S44" t="s">
        <v>57</v>
      </c>
      <c r="T44">
        <v>34</v>
      </c>
      <c r="U44">
        <v>2</v>
      </c>
      <c r="V44">
        <v>27</v>
      </c>
      <c r="W44">
        <v>11</v>
      </c>
      <c r="X44">
        <v>5</v>
      </c>
      <c r="Y44" t="s">
        <v>215</v>
      </c>
      <c r="Z44" t="s">
        <v>103</v>
      </c>
    </row>
    <row r="45" spans="1:28" x14ac:dyDescent="0.3">
      <c r="A45">
        <v>45938.607129629629</v>
      </c>
      <c r="B45">
        <v>45938.609039351853</v>
      </c>
      <c r="C45">
        <v>0</v>
      </c>
      <c r="D45" t="s">
        <v>194</v>
      </c>
      <c r="E45">
        <v>100</v>
      </c>
      <c r="F45">
        <v>165</v>
      </c>
      <c r="G45">
        <v>1</v>
      </c>
      <c r="H45">
        <v>45938.609064814817</v>
      </c>
      <c r="I45" t="s">
        <v>216</v>
      </c>
      <c r="J45" t="s">
        <v>53</v>
      </c>
      <c r="K45" t="s">
        <v>53</v>
      </c>
      <c r="L45" t="s">
        <v>53</v>
      </c>
      <c r="M45" t="s">
        <v>53</v>
      </c>
      <c r="N45">
        <v>41.890500000000003</v>
      </c>
      <c r="O45">
        <v>12.512700000000001</v>
      </c>
      <c r="P45" t="s">
        <v>54</v>
      </c>
      <c r="Q45" t="s">
        <v>55</v>
      </c>
      <c r="R45" t="s">
        <v>214</v>
      </c>
      <c r="S45" t="s">
        <v>61</v>
      </c>
      <c r="T45">
        <v>62</v>
      </c>
      <c r="U45">
        <v>11</v>
      </c>
      <c r="V45">
        <v>48</v>
      </c>
      <c r="W45">
        <v>24</v>
      </c>
      <c r="X45">
        <v>10</v>
      </c>
      <c r="Y45" t="s">
        <v>215</v>
      </c>
      <c r="Z45" t="s">
        <v>217</v>
      </c>
    </row>
    <row r="46" spans="1:28" x14ac:dyDescent="0.3">
      <c r="A46">
        <v>45938.610891203702</v>
      </c>
      <c r="B46">
        <v>45938.627118055556</v>
      </c>
      <c r="C46">
        <v>0</v>
      </c>
      <c r="D46" t="s">
        <v>218</v>
      </c>
      <c r="E46">
        <v>100</v>
      </c>
      <c r="F46">
        <v>1402</v>
      </c>
      <c r="G46">
        <v>1</v>
      </c>
      <c r="H46">
        <v>45938.62713212963</v>
      </c>
      <c r="I46" t="s">
        <v>219</v>
      </c>
      <c r="J46" t="s">
        <v>53</v>
      </c>
      <c r="K46" t="s">
        <v>53</v>
      </c>
      <c r="L46" t="s">
        <v>53</v>
      </c>
      <c r="M46" t="s">
        <v>53</v>
      </c>
      <c r="N46">
        <v>41.890500000000003</v>
      </c>
      <c r="O46">
        <v>12.512700000000001</v>
      </c>
      <c r="P46" t="s">
        <v>54</v>
      </c>
      <c r="Q46" t="s">
        <v>55</v>
      </c>
      <c r="R46" t="s">
        <v>220</v>
      </c>
      <c r="S46" t="s">
        <v>61</v>
      </c>
      <c r="T46">
        <v>9</v>
      </c>
      <c r="U46">
        <v>33</v>
      </c>
      <c r="V46">
        <v>5</v>
      </c>
      <c r="W46">
        <v>44</v>
      </c>
      <c r="X46">
        <v>18</v>
      </c>
      <c r="Y46" t="s">
        <v>221</v>
      </c>
      <c r="Z46" t="s">
        <v>222</v>
      </c>
    </row>
    <row r="47" spans="1:28" hidden="1" x14ac:dyDescent="0.3">
      <c r="A47">
        <v>45938.628310185188</v>
      </c>
      <c r="B47">
        <v>45938.630150462966</v>
      </c>
      <c r="C47">
        <v>0</v>
      </c>
      <c r="D47" t="s">
        <v>218</v>
      </c>
      <c r="E47">
        <v>100</v>
      </c>
      <c r="F47">
        <v>159</v>
      </c>
      <c r="G47">
        <v>1</v>
      </c>
      <c r="H47">
        <v>45938.630160891204</v>
      </c>
      <c r="I47" t="s">
        <v>223</v>
      </c>
      <c r="J47" t="s">
        <v>53</v>
      </c>
      <c r="K47" t="s">
        <v>53</v>
      </c>
      <c r="L47" t="s">
        <v>53</v>
      </c>
      <c r="M47" t="s">
        <v>53</v>
      </c>
      <c r="N47">
        <v>41.890500000000003</v>
      </c>
      <c r="O47">
        <v>12.512700000000001</v>
      </c>
      <c r="P47" t="s">
        <v>54</v>
      </c>
      <c r="Q47" t="s">
        <v>55</v>
      </c>
      <c r="R47" t="s">
        <v>220</v>
      </c>
      <c r="S47" t="s">
        <v>57</v>
      </c>
      <c r="T47">
        <v>15</v>
      </c>
      <c r="U47">
        <v>3</v>
      </c>
      <c r="V47">
        <v>1</v>
      </c>
      <c r="W47">
        <v>1</v>
      </c>
      <c r="X47">
        <v>1</v>
      </c>
      <c r="Y47" t="s">
        <v>224</v>
      </c>
      <c r="Z47" t="s">
        <v>225</v>
      </c>
    </row>
    <row r="48" spans="1:28" hidden="1" x14ac:dyDescent="0.3">
      <c r="A48">
        <v>45938.649363425924</v>
      </c>
      <c r="B48">
        <v>45938.67255787037</v>
      </c>
      <c r="C48">
        <v>0</v>
      </c>
      <c r="D48" t="s">
        <v>218</v>
      </c>
      <c r="E48">
        <v>100</v>
      </c>
      <c r="F48">
        <v>2003</v>
      </c>
      <c r="G48">
        <v>1</v>
      </c>
      <c r="H48">
        <v>45938.67256230324</v>
      </c>
      <c r="I48" t="s">
        <v>226</v>
      </c>
      <c r="J48" t="s">
        <v>53</v>
      </c>
      <c r="K48" t="s">
        <v>53</v>
      </c>
      <c r="L48" t="s">
        <v>53</v>
      </c>
      <c r="M48" t="s">
        <v>53</v>
      </c>
      <c r="N48">
        <v>41.890500000000003</v>
      </c>
      <c r="O48">
        <v>12.512700000000001</v>
      </c>
      <c r="P48" t="s">
        <v>54</v>
      </c>
      <c r="Q48" t="s">
        <v>55</v>
      </c>
      <c r="R48" t="s">
        <v>227</v>
      </c>
      <c r="S48" t="s">
        <v>57</v>
      </c>
      <c r="T48">
        <v>36</v>
      </c>
      <c r="U48">
        <v>2</v>
      </c>
      <c r="V48">
        <v>6</v>
      </c>
      <c r="W48">
        <v>0</v>
      </c>
      <c r="X48">
        <v>0</v>
      </c>
      <c r="Y48" t="s">
        <v>228</v>
      </c>
      <c r="Z48" t="s">
        <v>229</v>
      </c>
    </row>
    <row r="49" spans="1:26" x14ac:dyDescent="0.3">
      <c r="A49">
        <v>45938.672662037039</v>
      </c>
      <c r="B49">
        <v>45938.674351851849</v>
      </c>
      <c r="C49">
        <v>0</v>
      </c>
      <c r="D49" t="s">
        <v>218</v>
      </c>
      <c r="E49">
        <v>100</v>
      </c>
      <c r="F49">
        <v>145</v>
      </c>
      <c r="G49">
        <v>1</v>
      </c>
      <c r="H49">
        <v>45938.674358611112</v>
      </c>
      <c r="I49" t="s">
        <v>230</v>
      </c>
      <c r="J49" t="s">
        <v>53</v>
      </c>
      <c r="K49" t="s">
        <v>53</v>
      </c>
      <c r="L49" t="s">
        <v>53</v>
      </c>
      <c r="M49" t="s">
        <v>53</v>
      </c>
      <c r="N49">
        <v>41.890500000000003</v>
      </c>
      <c r="O49">
        <v>12.512700000000001</v>
      </c>
      <c r="P49" t="s">
        <v>54</v>
      </c>
      <c r="Q49" t="s">
        <v>55</v>
      </c>
      <c r="R49" t="s">
        <v>227</v>
      </c>
      <c r="S49" t="s">
        <v>61</v>
      </c>
      <c r="T49">
        <v>29</v>
      </c>
      <c r="U49">
        <v>5</v>
      </c>
      <c r="V49">
        <v>23</v>
      </c>
      <c r="W49">
        <v>5</v>
      </c>
      <c r="X49">
        <v>5</v>
      </c>
      <c r="Y49" t="s">
        <v>125</v>
      </c>
      <c r="Z49" t="s">
        <v>231</v>
      </c>
    </row>
    <row r="50" spans="1:26" x14ac:dyDescent="0.3">
      <c r="A50">
        <v>45940.4846412037</v>
      </c>
      <c r="B50">
        <v>45940.495370370372</v>
      </c>
      <c r="C50">
        <v>0</v>
      </c>
      <c r="D50" t="s">
        <v>246</v>
      </c>
      <c r="E50">
        <v>100</v>
      </c>
      <c r="F50">
        <v>927</v>
      </c>
      <c r="G50">
        <v>1</v>
      </c>
      <c r="H50">
        <v>45940.495386111113</v>
      </c>
      <c r="I50" t="s">
        <v>247</v>
      </c>
      <c r="J50" t="s">
        <v>53</v>
      </c>
      <c r="K50" t="s">
        <v>53</v>
      </c>
      <c r="L50" t="s">
        <v>53</v>
      </c>
      <c r="M50" t="s">
        <v>53</v>
      </c>
      <c r="N50">
        <v>43.1479</v>
      </c>
      <c r="O50">
        <v>12.1097</v>
      </c>
      <c r="P50" t="s">
        <v>54</v>
      </c>
      <c r="Q50" t="s">
        <v>55</v>
      </c>
      <c r="R50" t="s">
        <v>248</v>
      </c>
      <c r="S50" t="s">
        <v>61</v>
      </c>
      <c r="T50">
        <v>9</v>
      </c>
      <c r="U50">
        <v>6</v>
      </c>
      <c r="V50">
        <v>13</v>
      </c>
      <c r="W50">
        <v>2</v>
      </c>
      <c r="X50">
        <v>2</v>
      </c>
      <c r="Y50" t="s">
        <v>249</v>
      </c>
      <c r="Z50" t="s">
        <v>250</v>
      </c>
    </row>
    <row r="51" spans="1:26" hidden="1" x14ac:dyDescent="0.3">
      <c r="A51">
        <v>45940.49554398148</v>
      </c>
      <c r="B51">
        <v>45940.497928240744</v>
      </c>
      <c r="C51">
        <v>0</v>
      </c>
      <c r="D51" t="s">
        <v>246</v>
      </c>
      <c r="E51">
        <v>100</v>
      </c>
      <c r="F51">
        <v>205</v>
      </c>
      <c r="G51">
        <v>1</v>
      </c>
      <c r="H51">
        <v>45940.497934733794</v>
      </c>
      <c r="I51" t="s">
        <v>251</v>
      </c>
      <c r="J51" t="s">
        <v>53</v>
      </c>
      <c r="K51" t="s">
        <v>53</v>
      </c>
      <c r="L51" t="s">
        <v>53</v>
      </c>
      <c r="M51" t="s">
        <v>53</v>
      </c>
      <c r="N51">
        <v>43.1479</v>
      </c>
      <c r="O51">
        <v>12.1097</v>
      </c>
      <c r="P51" t="s">
        <v>54</v>
      </c>
      <c r="Q51" t="s">
        <v>55</v>
      </c>
      <c r="R51" t="s">
        <v>248</v>
      </c>
      <c r="S51" t="s">
        <v>57</v>
      </c>
      <c r="T51">
        <v>22</v>
      </c>
      <c r="U51">
        <v>6</v>
      </c>
      <c r="V51">
        <v>32</v>
      </c>
      <c r="W51">
        <v>21</v>
      </c>
      <c r="X51">
        <v>3</v>
      </c>
      <c r="Y51" t="s">
        <v>252</v>
      </c>
      <c r="Z51" t="s">
        <v>253</v>
      </c>
    </row>
    <row r="52" spans="1:26" hidden="1" x14ac:dyDescent="0.3">
      <c r="A52">
        <v>45940.501030092593</v>
      </c>
      <c r="B52">
        <v>45940.504340277781</v>
      </c>
      <c r="C52">
        <v>0</v>
      </c>
      <c r="D52" t="s">
        <v>246</v>
      </c>
      <c r="E52">
        <v>100</v>
      </c>
      <c r="F52">
        <v>286</v>
      </c>
      <c r="G52">
        <v>1</v>
      </c>
      <c r="H52">
        <v>45940.504354745368</v>
      </c>
      <c r="I52" t="s">
        <v>254</v>
      </c>
      <c r="J52" t="s">
        <v>53</v>
      </c>
      <c r="K52" t="s">
        <v>53</v>
      </c>
      <c r="L52" t="s">
        <v>53</v>
      </c>
      <c r="M52" t="s">
        <v>53</v>
      </c>
      <c r="N52">
        <v>43.1479</v>
      </c>
      <c r="O52">
        <v>12.1097</v>
      </c>
      <c r="P52" t="s">
        <v>54</v>
      </c>
      <c r="Q52" t="s">
        <v>55</v>
      </c>
      <c r="R52" t="s">
        <v>255</v>
      </c>
      <c r="S52" t="s">
        <v>57</v>
      </c>
      <c r="T52">
        <v>15</v>
      </c>
      <c r="U52">
        <v>6</v>
      </c>
      <c r="V52">
        <v>19</v>
      </c>
      <c r="W52">
        <v>25</v>
      </c>
      <c r="X52">
        <v>7</v>
      </c>
      <c r="Y52" t="s">
        <v>256</v>
      </c>
      <c r="Z52" t="s">
        <v>257</v>
      </c>
    </row>
    <row r="53" spans="1:26" x14ac:dyDescent="0.3">
      <c r="A53">
        <v>45940.504467592589</v>
      </c>
      <c r="B53">
        <v>45940.507071759261</v>
      </c>
      <c r="C53">
        <v>0</v>
      </c>
      <c r="D53" t="s">
        <v>246</v>
      </c>
      <c r="E53">
        <v>100</v>
      </c>
      <c r="F53">
        <v>224</v>
      </c>
      <c r="G53">
        <v>1</v>
      </c>
      <c r="H53">
        <v>45940.518948252313</v>
      </c>
      <c r="I53" t="s">
        <v>258</v>
      </c>
      <c r="J53" t="s">
        <v>53</v>
      </c>
      <c r="K53" t="s">
        <v>53</v>
      </c>
      <c r="L53" t="s">
        <v>53</v>
      </c>
      <c r="M53" t="s">
        <v>53</v>
      </c>
      <c r="N53">
        <v>43.1479</v>
      </c>
      <c r="O53">
        <v>12.1097</v>
      </c>
      <c r="P53" t="s">
        <v>54</v>
      </c>
      <c r="Q53" t="s">
        <v>55</v>
      </c>
      <c r="R53" t="s">
        <v>255</v>
      </c>
      <c r="S53" t="s">
        <v>61</v>
      </c>
      <c r="T53">
        <v>6</v>
      </c>
      <c r="U53">
        <v>11</v>
      </c>
      <c r="V53">
        <v>4</v>
      </c>
      <c r="W53">
        <v>11</v>
      </c>
      <c r="X53">
        <v>21</v>
      </c>
      <c r="Y53" t="s">
        <v>259</v>
      </c>
      <c r="Z53" t="s">
        <v>260</v>
      </c>
    </row>
    <row r="54" spans="1:26" hidden="1" x14ac:dyDescent="0.3">
      <c r="A54">
        <v>45940.533865740741</v>
      </c>
      <c r="B54">
        <v>45940.535613425927</v>
      </c>
      <c r="C54">
        <v>0</v>
      </c>
      <c r="D54" t="s">
        <v>246</v>
      </c>
      <c r="E54">
        <v>100</v>
      </c>
      <c r="F54">
        <v>150</v>
      </c>
      <c r="G54">
        <v>1</v>
      </c>
      <c r="H54">
        <v>45940.535622418982</v>
      </c>
      <c r="I54" t="s">
        <v>261</v>
      </c>
      <c r="J54" t="s">
        <v>53</v>
      </c>
      <c r="K54" t="s">
        <v>53</v>
      </c>
      <c r="L54" t="s">
        <v>53</v>
      </c>
      <c r="M54" t="s">
        <v>53</v>
      </c>
      <c r="N54">
        <v>43.1479</v>
      </c>
      <c r="O54">
        <v>12.1097</v>
      </c>
      <c r="P54" t="s">
        <v>54</v>
      </c>
      <c r="Q54" t="s">
        <v>55</v>
      </c>
      <c r="R54" t="s">
        <v>262</v>
      </c>
      <c r="S54" t="s">
        <v>57</v>
      </c>
      <c r="T54">
        <v>30</v>
      </c>
      <c r="U54">
        <v>10</v>
      </c>
      <c r="V54">
        <v>21</v>
      </c>
      <c r="W54">
        <v>6</v>
      </c>
      <c r="X54">
        <v>10</v>
      </c>
      <c r="Y54" t="s">
        <v>263</v>
      </c>
      <c r="Z54" t="s">
        <v>264</v>
      </c>
    </row>
    <row r="55" spans="1:26" x14ac:dyDescent="0.3">
      <c r="A55">
        <v>45940.514965277776</v>
      </c>
      <c r="B55">
        <v>45940.532766203702</v>
      </c>
      <c r="C55">
        <v>0</v>
      </c>
      <c r="D55" t="s">
        <v>246</v>
      </c>
      <c r="E55">
        <v>100</v>
      </c>
      <c r="F55">
        <v>1538</v>
      </c>
      <c r="G55">
        <v>1</v>
      </c>
      <c r="H55">
        <v>45940.545210520831</v>
      </c>
      <c r="I55" t="s">
        <v>265</v>
      </c>
      <c r="J55" t="s">
        <v>53</v>
      </c>
      <c r="K55" t="s">
        <v>53</v>
      </c>
      <c r="L55" t="s">
        <v>53</v>
      </c>
      <c r="M55" t="s">
        <v>53</v>
      </c>
      <c r="N55">
        <v>43.1479</v>
      </c>
      <c r="O55">
        <v>12.1097</v>
      </c>
      <c r="P55" t="s">
        <v>54</v>
      </c>
      <c r="Q55" t="s">
        <v>55</v>
      </c>
      <c r="R55" t="s">
        <v>262</v>
      </c>
      <c r="S55" t="s">
        <v>61</v>
      </c>
      <c r="T55">
        <v>11</v>
      </c>
      <c r="U55">
        <v>21</v>
      </c>
      <c r="V55">
        <v>8</v>
      </c>
      <c r="W55">
        <v>5</v>
      </c>
      <c r="X55">
        <v>7</v>
      </c>
      <c r="Y55" t="s">
        <v>266</v>
      </c>
      <c r="Z55" t="s">
        <v>267</v>
      </c>
    </row>
    <row r="56" spans="1:26" hidden="1" x14ac:dyDescent="0.3">
      <c r="A56">
        <v>45940.55332175926</v>
      </c>
      <c r="B56">
        <v>45940.557372685187</v>
      </c>
      <c r="C56">
        <v>0</v>
      </c>
      <c r="D56" t="s">
        <v>246</v>
      </c>
      <c r="E56">
        <v>100</v>
      </c>
      <c r="F56">
        <v>349</v>
      </c>
      <c r="G56">
        <v>1</v>
      </c>
      <c r="H56">
        <v>45940.557381817132</v>
      </c>
      <c r="I56" t="s">
        <v>268</v>
      </c>
      <c r="J56" t="s">
        <v>53</v>
      </c>
      <c r="K56" t="s">
        <v>53</v>
      </c>
      <c r="L56" t="s">
        <v>53</v>
      </c>
      <c r="M56" t="s">
        <v>53</v>
      </c>
      <c r="N56">
        <v>43.1479</v>
      </c>
      <c r="O56">
        <v>12.1097</v>
      </c>
      <c r="P56" t="s">
        <v>54</v>
      </c>
      <c r="Q56" t="s">
        <v>55</v>
      </c>
      <c r="R56" t="s">
        <v>269</v>
      </c>
      <c r="S56" t="s">
        <v>57</v>
      </c>
      <c r="T56">
        <v>25</v>
      </c>
      <c r="U56">
        <v>10</v>
      </c>
      <c r="V56">
        <v>22</v>
      </c>
      <c r="W56">
        <v>7</v>
      </c>
      <c r="X56">
        <v>3</v>
      </c>
      <c r="Y56" t="s">
        <v>270</v>
      </c>
      <c r="Z56" t="s">
        <v>271</v>
      </c>
    </row>
    <row r="57" spans="1:26" x14ac:dyDescent="0.3">
      <c r="A57">
        <v>45940.557604166665</v>
      </c>
      <c r="B57">
        <v>45940.559270833335</v>
      </c>
      <c r="C57">
        <v>0</v>
      </c>
      <c r="D57" t="s">
        <v>246</v>
      </c>
      <c r="E57">
        <v>100</v>
      </c>
      <c r="F57">
        <v>143</v>
      </c>
      <c r="G57">
        <v>1</v>
      </c>
      <c r="H57">
        <v>45940.55927849537</v>
      </c>
      <c r="I57" t="s">
        <v>272</v>
      </c>
      <c r="J57" t="s">
        <v>53</v>
      </c>
      <c r="K57" t="s">
        <v>53</v>
      </c>
      <c r="L57" t="s">
        <v>53</v>
      </c>
      <c r="M57" t="s">
        <v>53</v>
      </c>
      <c r="N57">
        <v>43.1479</v>
      </c>
      <c r="O57">
        <v>12.1097</v>
      </c>
      <c r="P57" t="s">
        <v>54</v>
      </c>
      <c r="Q57" t="s">
        <v>55</v>
      </c>
      <c r="R57" t="s">
        <v>269</v>
      </c>
      <c r="S57" t="s">
        <v>61</v>
      </c>
      <c r="T57">
        <v>21</v>
      </c>
      <c r="U57">
        <v>4</v>
      </c>
      <c r="V57">
        <v>31</v>
      </c>
      <c r="W57">
        <v>1</v>
      </c>
      <c r="X57">
        <v>1</v>
      </c>
      <c r="Y57" t="s">
        <v>270</v>
      </c>
      <c r="Z57" t="s">
        <v>103</v>
      </c>
    </row>
    <row r="58" spans="1:26" x14ac:dyDescent="0.3">
      <c r="A58">
        <v>45940.563101851854</v>
      </c>
      <c r="B58">
        <v>45940.565763888888</v>
      </c>
      <c r="C58">
        <v>0</v>
      </c>
      <c r="D58" t="s">
        <v>246</v>
      </c>
      <c r="E58">
        <v>100</v>
      </c>
      <c r="F58">
        <v>229</v>
      </c>
      <c r="G58">
        <v>1</v>
      </c>
      <c r="H58">
        <v>45940.56577523148</v>
      </c>
      <c r="I58" t="s">
        <v>273</v>
      </c>
      <c r="J58" t="s">
        <v>53</v>
      </c>
      <c r="K58" t="s">
        <v>53</v>
      </c>
      <c r="L58" t="s">
        <v>53</v>
      </c>
      <c r="M58" t="s">
        <v>53</v>
      </c>
      <c r="N58">
        <v>43.1479</v>
      </c>
      <c r="O58">
        <v>12.1097</v>
      </c>
      <c r="P58" t="s">
        <v>54</v>
      </c>
      <c r="Q58" t="s">
        <v>55</v>
      </c>
      <c r="R58" t="s">
        <v>274</v>
      </c>
      <c r="S58" t="s">
        <v>61</v>
      </c>
      <c r="T58">
        <v>20</v>
      </c>
      <c r="U58">
        <v>12</v>
      </c>
      <c r="V58">
        <v>34</v>
      </c>
      <c r="W58">
        <v>19</v>
      </c>
      <c r="X58">
        <v>3</v>
      </c>
      <c r="Y58" t="s">
        <v>275</v>
      </c>
      <c r="Z58" t="s">
        <v>276</v>
      </c>
    </row>
    <row r="59" spans="1:26" hidden="1" x14ac:dyDescent="0.3">
      <c r="A59">
        <v>45940.566064814811</v>
      </c>
      <c r="B59">
        <v>45940.567291666666</v>
      </c>
      <c r="C59">
        <v>0</v>
      </c>
      <c r="D59" t="s">
        <v>246</v>
      </c>
      <c r="E59">
        <v>100</v>
      </c>
      <c r="F59">
        <v>105</v>
      </c>
      <c r="G59">
        <v>1</v>
      </c>
      <c r="H59">
        <v>45940.567299247683</v>
      </c>
      <c r="I59" t="s">
        <v>277</v>
      </c>
      <c r="J59" t="s">
        <v>53</v>
      </c>
      <c r="K59" t="s">
        <v>53</v>
      </c>
      <c r="L59" t="s">
        <v>53</v>
      </c>
      <c r="M59" t="s">
        <v>53</v>
      </c>
      <c r="N59">
        <v>43.1479</v>
      </c>
      <c r="O59">
        <v>12.1097</v>
      </c>
      <c r="P59" t="s">
        <v>54</v>
      </c>
      <c r="Q59" t="s">
        <v>55</v>
      </c>
      <c r="R59" t="s">
        <v>274</v>
      </c>
      <c r="S59" t="s">
        <v>57</v>
      </c>
      <c r="T59">
        <v>16</v>
      </c>
      <c r="U59">
        <v>22</v>
      </c>
      <c r="V59">
        <v>43</v>
      </c>
      <c r="W59">
        <v>33</v>
      </c>
      <c r="X59">
        <v>7</v>
      </c>
      <c r="Y59" t="s">
        <v>275</v>
      </c>
      <c r="Z59" t="s">
        <v>278</v>
      </c>
    </row>
    <row r="60" spans="1:26" hidden="1" x14ac:dyDescent="0.3"/>
  </sheetData>
  <autoFilter ref="S1:S60" xr:uid="{2D394BDA-685B-4615-AAAF-E7D3BA0AF448}">
    <filterColumn colId="0">
      <filters>
        <filter val="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Sheet0</vt:lpstr>
      <vt:lpstr>S</vt:lpstr>
      <vt:lpstr>smoothie</vt:lpstr>
      <vt:lpstr>orange</vt:lpstr>
      <vt:lpstr>Foglio1</vt:lpstr>
      <vt:lpstr>Foglio2</vt:lpstr>
      <vt:lpstr>Foglio5</vt:lpstr>
      <vt:lpstr>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Eleonora</cp:lastModifiedBy>
  <dcterms:created xsi:type="dcterms:W3CDTF">2025-03-26T13:29:32Z</dcterms:created>
  <dcterms:modified xsi:type="dcterms:W3CDTF">2026-06-29T16:32:18Z</dcterms:modified>
</cp:coreProperties>
</file>